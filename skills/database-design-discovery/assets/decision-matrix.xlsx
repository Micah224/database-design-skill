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nswers" sheetId="2" state="visible" r:id="rId4"/>
    <sheet name="Conflict checks" sheetId="3" state="visible" r:id="rId5"/>
    <sheet name="Decision rules" sheetId="4" state="visible" r:id="rId6"/>
    <sheet name="Question bank" sheetId="5" state="visible" r:id="rId7"/>
    <sheet name="Role matrix" sheetId="6" state="visible" r:id="rId8"/>
    <sheet name="Regime clocks" sheetId="7" state="visible" r:id="rId9"/>
    <sheet name="Authenticators" sheetId="8" state="visible" r:id="rId10"/>
    <sheet name="Evidence" sheetId="9" state="visible" r:id="rId11"/>
  </sheets>
  <definedNames>
    <definedName function="false" hidden="false" localSheetId="1" name="_xlnm.Print_Titles" vbProcedure="false">Answers!$1:$1</definedName>
    <definedName function="false" hidden="true" localSheetId="1" name="_xlnm._FilterDatabase" vbProcedure="false">Answers!$A$1:$J$114</definedName>
    <definedName function="false" hidden="false" localSheetId="7" name="_xlnm.Print_Titles" vbProcedure="false">Authenticators!$1:$1</definedName>
    <definedName function="false" hidden="false" localSheetId="2" name="_xlnm.Print_Titles" vbProcedure="false">'Conflict checks'!$1:$1</definedName>
    <definedName function="false" hidden="true" localSheetId="2" name="_xlnm._FilterDatabase" vbProcedure="false">'Conflict checks'!$A$1:$G$32</definedName>
    <definedName function="false" hidden="false" localSheetId="3" name="_xlnm.Print_Titles" vbProcedure="false">'Decision rules'!$1:$1</definedName>
    <definedName function="false" hidden="true" localSheetId="3" name="_xlnm._FilterDatabase" vbProcedure="false">'Decision rules'!$A$1:$G$75</definedName>
    <definedName function="false" hidden="false" localSheetId="8" name="_xlnm.Print_Titles" vbProcedure="false">Evidence!$1:$1</definedName>
    <definedName function="false" hidden="false" localSheetId="4" name="_xlnm.Print_Titles" vbProcedure="false">'Question bank'!$1:$1</definedName>
    <definedName function="false" hidden="true" localSheetId="4" name="_xlnm._FilterDatabase" vbProcedure="false">'Question bank'!$A$1:$F$670</definedName>
    <definedName function="false" hidden="false" localSheetId="6" name="_xlnm.Print_Titles" vbProcedure="false">'Regime clocks'!$1:$1</definedName>
    <definedName function="false" hidden="false" localSheetId="5" name="_xlnm.Print_Titles" vbProcedure="false">'Role matrix'!$1:$1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2" authorId="0">
      <text>
        <r>
          <rPr>
            <sz val="10"/>
            <rFont val="Arial"/>
            <family val="2"/>
          </rPr>
          <t xml:space="preserve">EXAMPLE DATA. This column is pre-filled with one worked example (a mid-size B2B SaaS) so the Conflict checks sheet has something to evaluate. Overwrite every cell in this column with your own answers.
Codes come from the Question bank sheet. Separate multiple codes with a semicolon.</t>
        </r>
      </text>
    </comment>
  </commentList>
</comments>
</file>

<file path=xl/sharedStrings.xml><?xml version="1.0" encoding="utf-8"?>
<sst xmlns="http://schemas.openxmlformats.org/spreadsheetml/2006/main" count="5450" uniqueCount="2151">
  <si>
    <t xml:space="preserve">Database design decision matrix</t>
  </si>
  <si>
    <t xml:space="preserve">Identity, privilege ladder, organisation model, governance and audit</t>
  </si>
  <si>
    <t xml:space="preserve">What this is</t>
  </si>
  <si>
    <t xml:space="preserve">The auditable companion to the interactive questionnaire. The questionnaire produces a recommendation; this workbook shows the working, so a reviewer can see exactly which answer produced which recommendation and on what authority.</t>
  </si>
  <si>
    <t xml:space="preserve">How to use it</t>
  </si>
  <si>
    <t xml:space="preserve">1. Fill the yellow column on the Answers sheet. Codes come from the Question bank sheet; separate multiple codes with a semicolon (for example: pw;pksync;totp).</t>
  </si>
  <si>
    <t xml:space="preserve">2. Open Conflict checks. Any row reading FIRES is a combination of your answers that cannot hold, or that you should decide about deliberately. Contradictions come first.</t>
  </si>
  <si>
    <t xml:space="preserve">3. Read Decision rules top to bottom for your case. Each row gives one primary choice, one alternative, and the condition that should make you switch.</t>
  </si>
  <si>
    <t xml:space="preserve">4. Use Role matrix, Regime clocks and Authenticators as reference tables while you draft the schema.</t>
  </si>
  <si>
    <t xml:space="preserve">Legend</t>
  </si>
  <si>
    <t xml:space="preserve">Yellow cells are yours to edit. Everything else is reference data or a formula. The Answers column arrives pre-filled with one worked example (a mid-size B2B SaaS) so the conflict formulas have something to evaluate - overwrite it.</t>
  </si>
  <si>
    <t xml:space="preserve">What it does not do</t>
  </si>
  <si>
    <t xml:space="preserve">It does not replace the questionnaire, which branches: it hides questions that do not apply to you and asks domain-specific ones that do. This workbook lists every question in the bank, including ones your case will never need. The Shown when column on the Answers sheet tells you which.</t>
  </si>
  <si>
    <t xml:space="preserve">It is not legal advice. The Regime clocks sheet summarises published obligations to help you shape a schema; confirm each against the current instrument for your jurisdictions.</t>
  </si>
  <si>
    <t xml:space="preserve">Contents</t>
  </si>
  <si>
    <t xml:space="preserve">Sheet</t>
  </si>
  <si>
    <t xml:space="preserve">What is on it</t>
  </si>
  <si>
    <t xml:space="preserve">Rows</t>
  </si>
  <si>
    <t xml:space="preserve">Answers</t>
  </si>
  <si>
    <t xml:space="preserve">Every question in the bank, with the yellow column for your answers.</t>
  </si>
  <si>
    <t xml:space="preserve">Conflict checks</t>
  </si>
  <si>
    <t xml:space="preserve">Live formulas over your answers. FIRES means the combination is a problem.</t>
  </si>
  <si>
    <t xml:space="preserve">Decision rules</t>
  </si>
  <si>
    <t xml:space="preserve">Condition, primary, alternative, switch-when, evidence. The matrix proper.</t>
  </si>
  <si>
    <t xml:space="preserve">Question bank</t>
  </si>
  <si>
    <t xml:space="preserve">Every answer code and what it means. Use this to fill the Answers sheet.</t>
  </si>
  <si>
    <t xml:space="preserve">Role matrix</t>
  </si>
  <si>
    <t xml:space="preserve">A worked starter permission set, and the separations that matter.</t>
  </si>
  <si>
    <t xml:space="preserve">Regime clocks</t>
  </si>
  <si>
    <t xml:space="preserve">Breach, erasure, residency and retention obligations side by side.</t>
  </si>
  <si>
    <t xml:space="preserve">Authenticators</t>
  </si>
  <si>
    <t xml:space="preserve">Assurance ceiling, phishing resistance and the schema fields each type needs.</t>
  </si>
  <si>
    <t xml:space="preserve">Evidence</t>
  </si>
  <si>
    <t xml:space="preserve">The source behind every citation key used in this workbook.</t>
  </si>
  <si>
    <t xml:space="preserve">Status of your answers</t>
  </si>
  <si>
    <t xml:space="preserve">Questions in the bank</t>
  </si>
  <si>
    <t xml:space="preserve">Answered</t>
  </si>
  <si>
    <t xml:space="preserve">Still blank</t>
  </si>
  <si>
    <t xml:space="preserve">Contradictions firing</t>
  </si>
  <si>
    <t xml:space="preserve">Risks firing</t>
  </si>
  <si>
    <t xml:space="preserve">Items to consider</t>
  </si>
  <si>
    <t xml:space="preserve">Assumptions in this workbook</t>
  </si>
  <si>
    <t xml:space="preserve">- Every recommendation is conditional on an answer. Nothing here is a default derived from popularity; where a rule fires on "otherwise", the row says so explicitly.</t>
  </si>
  <si>
    <t xml:space="preserve">- Version and date claims (PostgreSQL 18 current with 19 expected September 2026; NIST SP 800-63-4 final 31 July 2025; WebAuthn L3 still a Candidate Recommendation Snapshot dated 26 May 2026; CTAP 2.3 Proposed Standard February 2026; OAuth 2.1 still an Internet-Draft, so RFC 9700 is cited instead) were accurate when compiled. Re-check before quoting them.</t>
  </si>
  <si>
    <t xml:space="preserve">- Vendor pricing is deliberately absent. It changes faster than any document can track, and the tier boundaries are where the surprises live.</t>
  </si>
  <si>
    <t xml:space="preserve">- Benchmark figures quoted in the Decision rules sheet come from the published sources named in the Evidence sheet. They are indicative of shape, not guarantees for your hardware.</t>
  </si>
  <si>
    <t xml:space="preserve">ID</t>
  </si>
  <si>
    <t xml:space="preserve">Section</t>
  </si>
  <si>
    <t xml:space="preserve">Question</t>
  </si>
  <si>
    <t xml:space="preserve">Type</t>
  </si>
  <si>
    <t xml:space="preserve">Required</t>
  </si>
  <si>
    <t xml:space="preserve">Shown when</t>
  </si>
  <si>
    <t xml:space="preserve">Your answer (codes)</t>
  </si>
  <si>
    <t xml:space="preserve">Custom / "other" text</t>
  </si>
  <si>
    <t xml:space="preserve">Note</t>
  </si>
  <si>
    <t xml:space="preserve">Answered?</t>
  </si>
  <si>
    <t xml:space="preserve">A1</t>
  </si>
  <si>
    <t xml:space="preserve">Domain &amp; risk</t>
  </si>
  <si>
    <t xml:space="preserve">Which best describes what the system is for?</t>
  </si>
  <si>
    <t xml:space="preserve">single</t>
  </si>
  <si>
    <t xml:space="preserve">yes</t>
  </si>
  <si>
    <t xml:space="preserve">always</t>
  </si>
  <si>
    <t xml:space="preserve">b2bsaas</t>
  </si>
  <si>
    <t xml:space="preserve">A2</t>
  </si>
  <si>
    <t xml:space="preserve">Who will hold accounts in the system?</t>
  </si>
  <si>
    <t xml:space="preserve">multi</t>
  </si>
  <si>
    <t xml:space="preserve">custstaff;ownstaff</t>
  </si>
  <si>
    <t xml:space="preserve">A3</t>
  </si>
  <si>
    <t xml:space="preserve">Is the system multi-tenant?</t>
  </si>
  <si>
    <t xml:space="preserve">shared</t>
  </si>
  <si>
    <t xml:space="preserve">A4</t>
  </si>
  <si>
    <t xml:space="preserve">What is the worst realistic consequence of a wrong, lost or leaked record?</t>
  </si>
  <si>
    <t xml:space="preserve">reput</t>
  </si>
  <si>
    <t xml:space="preserve">A5</t>
  </si>
  <si>
    <t xml:space="preserve">Does the system do any of these regulated things?</t>
  </si>
  <si>
    <t xml:space="preserve">none</t>
  </si>
  <si>
    <t xml:space="preserve">B1</t>
  </si>
  <si>
    <t xml:space="preserve">Scale &amp; data shape</t>
  </si>
  <si>
    <t xml:space="preserve">How many rows will your largest single table hold 24 months after launch?</t>
  </si>
  <si>
    <t xml:space="preserve">small</t>
  </si>
  <si>
    <t xml:space="preserve">B2</t>
  </si>
  <si>
    <t xml:space="preserve">What is the read-to-write ratio on the busiest path?</t>
  </si>
  <si>
    <t xml:space="preserve">balanced</t>
  </si>
  <si>
    <t xml:space="preserve">B3</t>
  </si>
  <si>
    <t xml:space="preserve">Peak concurrent active users or connections at the busiest minute?</t>
  </si>
  <si>
    <t xml:space="preserve">p2</t>
  </si>
  <si>
    <t xml:space="preserve">B4</t>
  </si>
  <si>
    <t xml:space="preserve">Does the dominant data have a time axis — is it a stream of dated events?</t>
  </si>
  <si>
    <t xml:space="preserve">secondary</t>
  </si>
  <si>
    <t xml:space="preserve">B5</t>
  </si>
  <si>
    <t xml:space="preserve">How variable is the shape of your records?</t>
  </si>
  <si>
    <t xml:space="preserve">mostly</t>
  </si>
  <si>
    <t xml:space="preserve">B6</t>
  </si>
  <si>
    <t xml:space="preserve">Where are your users, physically?</t>
  </si>
  <si>
    <t xml:space="preserve">region</t>
  </si>
  <si>
    <t xml:space="preserve">B7</t>
  </si>
  <si>
    <t xml:space="preserve">What kind of search do users need?</t>
  </si>
  <si>
    <t xml:space="preserve">fts</t>
  </si>
  <si>
    <t xml:space="preserve">B8</t>
  </si>
  <si>
    <t xml:space="preserve">What analytics do you need over this data?</t>
  </si>
  <si>
    <t xml:space="preserve">light</t>
  </si>
  <si>
    <t xml:space="preserve">B9</t>
  </si>
  <si>
    <t xml:space="preserve">What consistency does the core write path require?</t>
  </si>
  <si>
    <t xml:space="preserve">rc</t>
  </si>
  <si>
    <t xml:space="preserve">B10</t>
  </si>
  <si>
    <t xml:space="preserve">Do clients need to work offline and sync later?</t>
  </si>
  <si>
    <t xml:space="preserve">no</t>
  </si>
  <si>
    <t xml:space="preserve">C1</t>
  </si>
  <si>
    <t xml:space="preserve">Identity</t>
  </si>
  <si>
    <t xml:space="preserve">What will end users type into the “username” field?</t>
  </si>
  <si>
    <t xml:space="preserve">email</t>
  </si>
  <si>
    <t xml:space="preserve">C2</t>
  </si>
  <si>
    <t xml:space="preserve">What is the login policy for staff and internal users?</t>
  </si>
  <si>
    <t xml:space="preserve">one of A2,ownstaff,custstaff,contract,partner</t>
  </si>
  <si>
    <t xml:space="preserve">domain</t>
  </si>
  <si>
    <t xml:space="preserve">C3</t>
  </si>
  <si>
    <t xml:space="preserve">Do your business customers need to bring their own identity provider?</t>
  </si>
  <si>
    <t xml:space="preserve">one of A2,custstaff,partner OR A1,b2bsaas</t>
  </si>
  <si>
    <t xml:space="preserve">both</t>
  </si>
  <si>
    <t xml:space="preserve">C4</t>
  </si>
  <si>
    <t xml:space="preserve">How strongly must you prove that a user is who they claim to be?</t>
  </si>
  <si>
    <t xml:space="preserve">ial1</t>
  </si>
  <si>
    <t xml:space="preserve">C5</t>
  </si>
  <si>
    <t xml:space="preserve">How do accounts come into existence?</t>
  </si>
  <si>
    <t xml:space="preserve">C6</t>
  </si>
  <si>
    <t xml:space="preserve">Can one human legitimately hold more than one account?</t>
  </si>
  <si>
    <t xml:space="preserve">roles</t>
  </si>
  <si>
    <t xml:space="preserve">C7</t>
  </si>
  <si>
    <t xml:space="preserve">Does anyone ever act on another person’s behalf?</t>
  </si>
  <si>
    <t xml:space="preserve">C8</t>
  </si>
  <si>
    <t xml:space="preserve">Which personal attributes will you actually store?</t>
  </si>
  <si>
    <t xml:space="preserve">nameonly</t>
  </si>
  <si>
    <t xml:space="preserve">C9</t>
  </si>
  <si>
    <t xml:space="preserve">Do you need to know a user’s age or age band?</t>
  </si>
  <si>
    <t xml:space="preserve">D1</t>
  </si>
  <si>
    <t xml:space="preserve">Authentication</t>
  </si>
  <si>
    <t xml:space="preserve">What authentication assurance do ordinary end users need?</t>
  </si>
  <si>
    <t xml:space="preserve">aal2</t>
  </si>
  <si>
    <t xml:space="preserve">D2</t>
  </si>
  <si>
    <t xml:space="preserve">What assurance do staff, admins and super-admins need?</t>
  </si>
  <si>
    <t xml:space="preserve">aal2p</t>
  </si>
  <si>
    <t xml:space="preserve">D3</t>
  </si>
  <si>
    <t xml:space="preserve">Which authenticators will you support?</t>
  </si>
  <si>
    <t xml:space="preserve">pw;pksync;totp</t>
  </si>
  <si>
    <t xml:space="preserve">D4</t>
  </si>
  <si>
    <t xml:space="preserve">What happens when a user loses their only authenticator?</t>
  </si>
  <si>
    <t xml:space="preserve">second</t>
  </si>
  <si>
    <t xml:space="preserve">D5</t>
  </si>
  <si>
    <t xml:space="preserve">How long should an ordinary user stay signed in?</t>
  </si>
  <si>
    <t xml:space="preserve">day</t>
  </si>
  <si>
    <t xml:space="preserve">D6</t>
  </si>
  <si>
    <t xml:space="preserve">How long should a privileged administrative session last?</t>
  </si>
  <si>
    <t xml:space="preserve">30m</t>
  </si>
  <si>
    <t xml:space="preserve">D7</t>
  </si>
  <si>
    <t xml:space="preserve">Do you need to recognise and manage devices?</t>
  </si>
  <si>
    <t xml:space="preserve">list</t>
  </si>
  <si>
    <t xml:space="preserve">D8</t>
  </si>
  <si>
    <t xml:space="preserve">Which actions should force a fresh, stronger authentication?</t>
  </si>
  <si>
    <t xml:space="preserve">perm;contact</t>
  </si>
  <si>
    <t xml:space="preserve">D9</t>
  </si>
  <si>
    <t xml:space="preserve">How much automated abuse do you expect against sign-up and sign-in?</t>
  </si>
  <si>
    <t xml:space="preserve">med</t>
  </si>
  <si>
    <t xml:space="preserve">E1</t>
  </si>
  <si>
    <t xml:space="preserve">User account features</t>
  </si>
  <si>
    <t xml:space="preserve">Which account self-service capabilities must exist at launch?</t>
  </si>
  <si>
    <t xml:space="preserve">chgemail;chgpw;mfa;sessions;export;delete;consent</t>
  </si>
  <si>
    <t xml:space="preserve">E2</t>
  </si>
  <si>
    <t xml:space="preserve">How will the system contact users?</t>
  </si>
  <si>
    <t xml:space="preserve">E3</t>
  </si>
  <si>
    <t xml:space="preserve">Do users have a profile that other users can see?</t>
  </si>
  <si>
    <t xml:space="preserve">org</t>
  </si>
  <si>
    <t xml:space="preserve">E4</t>
  </si>
  <si>
    <t xml:space="preserve">Do you store payment instruments?</t>
  </si>
  <si>
    <t xml:space="preserve">token</t>
  </si>
  <si>
    <t xml:space="preserve">E5</t>
  </si>
  <si>
    <t xml:space="preserve">Do users belong to groups that share access to things?</t>
  </si>
  <si>
    <t xml:space="preserve">nested</t>
  </si>
  <si>
    <t xml:space="preserve">E6</t>
  </si>
  <si>
    <t xml:space="preserve">Do you need plans, entitlements or usage quotas?</t>
  </si>
  <si>
    <t xml:space="preserve">seat</t>
  </si>
  <si>
    <t xml:space="preserve">E7</t>
  </si>
  <si>
    <t xml:space="preserve">Do users create content that someone must review or moderate?</t>
  </si>
  <si>
    <t xml:space="preserve">F1</t>
  </si>
  <si>
    <t xml:space="preserve">Organisation model</t>
  </si>
  <si>
    <t xml:space="preserve">What internal structure exists beyond “admin and user”?</t>
  </si>
  <si>
    <t xml:space="preserve">dept;team</t>
  </si>
  <si>
    <t xml:space="preserve">F2</t>
  </si>
  <si>
    <t xml:space="preserve">How deep does that structure go, and is there more than one of it?</t>
  </si>
  <si>
    <t xml:space="preserve">NOT F1,none</t>
  </si>
  <si>
    <t xml:space="preserve">fixed</t>
  </si>
  <si>
    <t xml:space="preserve">F3</t>
  </si>
  <si>
    <t xml:space="preserve">Do you need to reconstruct the structure as it stood on a past date?</t>
  </si>
  <si>
    <t xml:space="preserve">hist</t>
  </si>
  <si>
    <t xml:space="preserve">F4</t>
  </si>
  <si>
    <t xml:space="preserve">Can one person be attached to more than one unit at the same time?</t>
  </si>
  <si>
    <t xml:space="preserve">many</t>
  </si>
  <si>
    <t xml:space="preserve">F5</t>
  </si>
  <si>
    <t xml:space="preserve">Do units cross national or legal-entity boundaries?</t>
  </si>
  <si>
    <t xml:space="preserve">F6</t>
  </si>
  <si>
    <t xml:space="preserve">Do your customer organisations have their own internal structure that you must model?</t>
  </si>
  <si>
    <t xml:space="preserve">one of A3,shared,schema,hybrid</t>
  </si>
  <si>
    <t xml:space="preserve">flat</t>
  </si>
  <si>
    <t xml:space="preserve">G1</t>
  </si>
  <si>
    <t xml:space="preserve">Staff &amp; roles</t>
  </si>
  <si>
    <t xml:space="preserve">How many genuinely distinct staff job functions will the system need to distinguish?</t>
  </si>
  <si>
    <t xml:space="preserve">r2</t>
  </si>
  <si>
    <t xml:space="preserve">G2</t>
  </si>
  <si>
    <t xml:space="preserve">How does a person actually get a role?</t>
  </si>
  <si>
    <t xml:space="preserve">manual</t>
  </si>
  <si>
    <t xml:space="preserve">G3</t>
  </si>
  <si>
    <t xml:space="preserve">Are staff permissions scoped to the part of the organisation they work in?</t>
  </si>
  <si>
    <t xml:space="preserve">own</t>
  </si>
  <si>
    <t xml:space="preserve">G4</t>
  </si>
  <si>
    <t xml:space="preserve">Do staff ever need temporarily elevated rights?</t>
  </si>
  <si>
    <t xml:space="preserve">G5</t>
  </si>
  <si>
    <t xml:space="preserve">Which duties must never be held by the same person at the same time?</t>
  </si>
  <si>
    <t xml:space="preserve">G6</t>
  </si>
  <si>
    <t xml:space="preserve">Is access tied to a shift, roster or opening hours?</t>
  </si>
  <si>
    <t xml:space="preserve">one of A2,ownstaff,contract OR one of F1,branch,ward</t>
  </si>
  <si>
    <t xml:space="preserve">G7</t>
  </si>
  <si>
    <t xml:space="preserve">Do staff share a physical terminal, till or workstation?</t>
  </si>
  <si>
    <t xml:space="preserve">one of F1,branch,ward OR one of A1,commerce,health,logistics</t>
  </si>
  <si>
    <t xml:space="preserve">G8</t>
  </si>
  <si>
    <t xml:space="preserve">Do you have field or mobile staff with unreliable connectivity?</t>
  </si>
  <si>
    <t xml:space="preserve">one of A1,logistics,health,commerce,gov OR B10,full</t>
  </si>
  <si>
    <t xml:space="preserve">G9</t>
  </si>
  <si>
    <t xml:space="preserve">Do contractor or partner accounts need a hard expiry?</t>
  </si>
  <si>
    <t xml:space="preserve">one of A2,contract,partner</t>
  </si>
  <si>
    <t xml:space="preserve">date</t>
  </si>
  <si>
    <t xml:space="preserve">H1</t>
  </si>
  <si>
    <t xml:space="preserve">Admin &amp; super-admin</t>
  </si>
  <si>
    <t xml:space="preserve">Can an administrator create new roles, or only use the ones you ship?</t>
  </si>
  <si>
    <t xml:space="preserve">delta</t>
  </si>
  <si>
    <t xml:space="preserve">H2</t>
  </si>
  <si>
    <t xml:space="preserve">Who is allowed to grant what?</t>
  </si>
  <si>
    <t xml:space="preserve">subset</t>
  </si>
  <si>
    <t xml:space="preserve">H3</t>
  </si>
  <si>
    <t xml:space="preserve">How should the highest level of access work?</t>
  </si>
  <si>
    <t xml:space="preserve">break</t>
  </si>
  <si>
    <t xml:space="preserve">H4</t>
  </si>
  <si>
    <t xml:space="preserve">Does support staff need to see or use the product as a specific user?</t>
  </si>
  <si>
    <t xml:space="preserve">readonly</t>
  </si>
  <si>
    <t xml:space="preserve">H5</t>
  </si>
  <si>
    <t xml:space="preserve">Which administrative actions need a second person to approve them?</t>
  </si>
  <si>
    <t xml:space="preserve">grant</t>
  </si>
  <si>
    <t xml:space="preserve">H6</t>
  </si>
  <si>
    <t xml:space="preserve">Do you need periodic access reviews?</t>
  </si>
  <si>
    <t xml:space="preserve">periodic</t>
  </si>
  <si>
    <t xml:space="preserve">H7</t>
  </si>
  <si>
    <t xml:space="preserve">What must administrators be able to see?</t>
  </si>
  <si>
    <t xml:space="preserve">users;access;activity</t>
  </si>
  <si>
    <t xml:space="preserve">H8</t>
  </si>
  <si>
    <t xml:space="preserve">Do your customers administer their own users?</t>
  </si>
  <si>
    <t xml:space="preserve">I1</t>
  </si>
  <si>
    <t xml:space="preserve">Authorization model</t>
  </si>
  <si>
    <t xml:space="preserve">What does a permission decision actually depend on?</t>
  </si>
  <si>
    <t xml:space="preserve">role;unit;rel</t>
  </si>
  <si>
    <t xml:space="preserve">I2</t>
  </si>
  <si>
    <t xml:space="preserve">Do you need to answer “who can access this record?” and “what can this person access?” as fast queries?</t>
  </si>
  <si>
    <t xml:space="preserve">I3</t>
  </si>
  <si>
    <t xml:space="preserve">How do users share things with each other?</t>
  </si>
  <si>
    <t xml:space="preserve">I4</t>
  </si>
  <si>
    <t xml:space="preserve">Do you need explicit denies or exceptions?</t>
  </si>
  <si>
    <t xml:space="preserve">I5</t>
  </si>
  <si>
    <t xml:space="preserve">What is the latency budget for a single permission check?</t>
  </si>
  <si>
    <t xml:space="preserve">ms50</t>
  </si>
  <si>
    <t xml:space="preserve">I6</t>
  </si>
  <si>
    <t xml:space="preserve">Where should the authorization decision be made?</t>
  </si>
  <si>
    <t xml:space="preserve">J1</t>
  </si>
  <si>
    <t xml:space="preserve">Privacy &amp; compliance</t>
  </si>
  <si>
    <t xml:space="preserve">Which data-protection or security regimes apply to you?</t>
  </si>
  <si>
    <t xml:space="preserve">gdpr;soc2</t>
  </si>
  <si>
    <t xml:space="preserve">J2</t>
  </si>
  <si>
    <t xml:space="preserve">Do you need to prove, later, that a specific person consented to a specific thing?</t>
  </si>
  <si>
    <t xml:space="preserve">purpose</t>
  </si>
  <si>
    <t xml:space="preserve">J3</t>
  </si>
  <si>
    <t xml:space="preserve">Must you honour deletion requests?</t>
  </si>
  <si>
    <t xml:space="preserve">anon</t>
  </si>
  <si>
    <t xml:space="preserve">J4</t>
  </si>
  <si>
    <t xml:space="preserve">Is there a data residency requirement?</t>
  </si>
  <si>
    <t xml:space="preserve">contract</t>
  </si>
  <si>
    <t xml:space="preserve">J5</t>
  </si>
  <si>
    <t xml:space="preserve">How long must core records be kept?</t>
  </si>
  <si>
    <t xml:space="preserve">y6</t>
  </si>
  <si>
    <t xml:space="preserve">J6</t>
  </si>
  <si>
    <t xml:space="preserve">How will you handle children’s data?</t>
  </si>
  <si>
    <t xml:space="preserve">A2,minor OR A5,child OR A1,edu</t>
  </si>
  <si>
    <t xml:space="preserve">J7</t>
  </si>
  <si>
    <t xml:space="preserve">Do you understand your breach-notification clock?</t>
  </si>
  <si>
    <t xml:space="preserve">partly</t>
  </si>
  <si>
    <t xml:space="preserve">J8</t>
  </si>
  <si>
    <t xml:space="preserve">Do third parties process this data on your behalf?</t>
  </si>
  <si>
    <t xml:space="preserve">few</t>
  </si>
  <si>
    <t xml:space="preserve">K1</t>
  </si>
  <si>
    <t xml:space="preserve">Audit &amp; evidence</t>
  </si>
  <si>
    <t xml:space="preserve">What must you be able to reconstruct after the fact?</t>
  </si>
  <si>
    <t xml:space="preserve">authn;change;perm;admin</t>
  </si>
  <si>
    <t xml:space="preserve">K2</t>
  </si>
  <si>
    <t xml:space="preserve">How long must the audit trail be kept, and how much of it must be instantly searchable?</t>
  </si>
  <si>
    <t xml:space="preserve">y1</t>
  </si>
  <si>
    <t xml:space="preserve">K3</t>
  </si>
  <si>
    <t xml:space="preserve">Must the audit trail resist tampering by your own privileged staff?</t>
  </si>
  <si>
    <t xml:space="preserve">offbox</t>
  </si>
  <si>
    <t xml:space="preserve">K4</t>
  </si>
  <si>
    <t xml:space="preserve">Will you be asked “who had access to this, on this date, and who approved it?”</t>
  </si>
  <si>
    <t xml:space="preserve">routine</t>
  </si>
  <si>
    <t xml:space="preserve">L1</t>
  </si>
  <si>
    <t xml:space="preserve">Operations &amp; stack</t>
  </si>
  <si>
    <t xml:space="preserve">Who will operate this database?</t>
  </si>
  <si>
    <t xml:space="preserve">L2</t>
  </si>
  <si>
    <t xml:space="preserve">How will it be hosted?</t>
  </si>
  <si>
    <t xml:space="preserve">managed</t>
  </si>
  <si>
    <t xml:space="preserve">L3</t>
  </si>
  <si>
    <t xml:space="preserve">Which platform?</t>
  </si>
  <si>
    <t xml:space="preserve">aws</t>
  </si>
  <si>
    <t xml:space="preserve">L4</t>
  </si>
  <si>
    <t xml:space="preserve">What availability does the business actually need?</t>
  </si>
  <si>
    <t xml:space="preserve">a2</t>
  </si>
  <si>
    <t xml:space="preserve">L5</t>
  </si>
  <si>
    <t xml:space="preserve">How much data may you lose in a disaster, and how quickly must you be back?</t>
  </si>
  <si>
    <t xml:space="preserve">L6</t>
  </si>
  <si>
    <t xml:space="preserve">What is the primary application language?</t>
  </si>
  <si>
    <t xml:space="preserve">ts</t>
  </si>
  <si>
    <t xml:space="preserve">L7</t>
  </si>
  <si>
    <t xml:space="preserve">What is your position on ORMs?</t>
  </si>
  <si>
    <t xml:space="preserve">mixed</t>
  </si>
  <si>
    <t xml:space="preserve">L8</t>
  </si>
  <si>
    <t xml:space="preserve">How disciplined is your schema-change process?</t>
  </si>
  <si>
    <t xml:space="preserve">gen</t>
  </si>
  <si>
    <t xml:space="preserve">L9</t>
  </si>
  <si>
    <t xml:space="preserve">How price-sensitive is the infrastructure budget?</t>
  </si>
  <si>
    <t xml:space="preserve">normal</t>
  </si>
  <si>
    <t xml:space="preserve">L10</t>
  </si>
  <si>
    <t xml:space="preserve">How long until this must be in production?</t>
  </si>
  <si>
    <t xml:space="preserve">q</t>
  </si>
  <si>
    <t xml:space="preserve">L11</t>
  </si>
  <si>
    <t xml:space="preserve">Would you rather build authentication yourself or buy it?</t>
  </si>
  <si>
    <t xml:space="preserve">buysso</t>
  </si>
  <si>
    <t xml:space="preserve">X-FIN1</t>
  </si>
  <si>
    <t xml:space="preserve">Domain specifics</t>
  </si>
  <si>
    <t xml:space="preserve">How is money represented?</t>
  </si>
  <si>
    <t xml:space="preserve">A1,fintech OR A5,funds</t>
  </si>
  <si>
    <t xml:space="preserve">X-FIN2</t>
  </si>
  <si>
    <t xml:space="preserve">Do transaction limits and approval thresholds vary by person, role or customer tier?</t>
  </si>
  <si>
    <t xml:space="preserve">X-FIN3</t>
  </si>
  <si>
    <t xml:space="preserve">How many KYC or verification tiers are there?</t>
  </si>
  <si>
    <t xml:space="preserve">X-FIN4</t>
  </si>
  <si>
    <t xml:space="preserve">Must you reconcile against an external source of truth?</t>
  </si>
  <si>
    <t xml:space="preserve">X-HLT1</t>
  </si>
  <si>
    <t xml:space="preserve">How is clinical access decided?</t>
  </si>
  <si>
    <t xml:space="preserve">A1,health OR A5,phi</t>
  </si>
  <si>
    <t xml:space="preserve">X-HLT2</t>
  </si>
  <si>
    <t xml:space="preserve">Do you need emergency override of access controls?</t>
  </si>
  <si>
    <t xml:space="preserve">X-HLT3</t>
  </si>
  <si>
    <t xml:space="preserve">How granular is patient consent to sharing?</t>
  </si>
  <si>
    <t xml:space="preserve">X-HLT4</t>
  </si>
  <si>
    <t xml:space="preserve">Do you exchange data with other clinical systems?</t>
  </si>
  <si>
    <t xml:space="preserve">X-B2B1</t>
  </si>
  <si>
    <t xml:space="preserve">What is the largest tenant likely to be, relative to the median?</t>
  </si>
  <si>
    <t xml:space="preserve">A1,b2bsaas OR one of A3,shared,schema,hybrid</t>
  </si>
  <si>
    <t xml:space="preserve">x10</t>
  </si>
  <si>
    <t xml:space="preserve">X-B2B2</t>
  </si>
  <si>
    <t xml:space="preserve">Do you need guest or external-collaborator access inside a tenant?</t>
  </si>
  <si>
    <t xml:space="preserve">guest</t>
  </si>
  <si>
    <t xml:space="preserve">X-B2B3</t>
  </si>
  <si>
    <t xml:space="preserve">How do tenants get deleted or exported?</t>
  </si>
  <si>
    <t xml:space="preserve">self</t>
  </si>
  <si>
    <t xml:space="preserve">X-COM1</t>
  </si>
  <si>
    <t xml:space="preserve">Is inventory tracked, and where?</t>
  </si>
  <si>
    <t xml:space="preserve">A1,commerce</t>
  </si>
  <si>
    <t xml:space="preserve">X-COM2</t>
  </si>
  <si>
    <t xml:space="preserve">Is there a physical point of sale?</t>
  </si>
  <si>
    <t xml:space="preserve">X-COM3</t>
  </si>
  <si>
    <t xml:space="preserve">Is it a marketplace with independent sellers?</t>
  </si>
  <si>
    <t xml:space="preserve">X-LOG1</t>
  </si>
  <si>
    <t xml:space="preserve">How is a field worker’s identity tied to their legal entitlement to work?</t>
  </si>
  <si>
    <t xml:space="preserve">A1,logistics</t>
  </si>
  <si>
    <t xml:space="preserve">X-LOG2</t>
  </si>
  <si>
    <t xml:space="preserve">Do you capture high-frequency telemetry (positions, sensor readings, scans)?</t>
  </si>
  <si>
    <t xml:space="preserve">X-EDU1</t>
  </si>
  <si>
    <t xml:space="preserve">Is access bounded by academic periods?</t>
  </si>
  <si>
    <t xml:space="preserve">A1,edu</t>
  </si>
  <si>
    <t xml:space="preserve">X-EDU2</t>
  </si>
  <si>
    <t xml:space="preserve">Do guardians have their own access to a learner’s record?</t>
  </si>
  <si>
    <t xml:space="preserve">X-GOV1</t>
  </si>
  <si>
    <t xml:space="preserve">Are there statutory records-management obligations?</t>
  </si>
  <si>
    <t xml:space="preserve">A1,gov OR A5,gov</t>
  </si>
  <si>
    <t xml:space="preserve">X-GOV2</t>
  </si>
  <si>
    <t xml:space="preserve">Are records subject to public access or freedom-of-information requests?</t>
  </si>
  <si>
    <t xml:space="preserve">X-SOC1</t>
  </si>
  <si>
    <t xml:space="preserve">What is the moderation and trust-and-safety model?</t>
  </si>
  <si>
    <t xml:space="preserve">A1,social</t>
  </si>
  <si>
    <t xml:space="preserve">#</t>
  </si>
  <si>
    <t xml:space="preserve">Severity</t>
  </si>
  <si>
    <t xml:space="preserve">Fires?</t>
  </si>
  <si>
    <t xml:space="preserve">Finding</t>
  </si>
  <si>
    <t xml:space="preserve">Why it matters</t>
  </si>
  <si>
    <t xml:space="preserve">What to do</t>
  </si>
  <si>
    <t xml:space="preserve">Condition, in plain terms</t>
  </si>
  <si>
    <t xml:space="preserve">Contradiction</t>
  </si>
  <si>
    <t xml:space="preserve">Your recovery path is weaker than your login path</t>
  </si>
  <si>
    <t xml:space="preserve">You require multi-factor authentication to sign in, but a single emailed or texted message is enough to take the account over. An attacker will always choose the weaker route, so your effective assurance level is the recovery path, not the login screen.</t>
  </si>
  <si>
    <t xml:space="preserve">Require a second registered authenticator for recovery, or at minimum re-verify to the same strength that was used at registration. The guidance is explicit that email is not a valid out-of-band authentication channel.</t>
  </si>
  <si>
    <t xml:space="preserve">Login requires MFA (D1) but recovery is an emailed link or SMS (D4)</t>
  </si>
  <si>
    <t xml:space="preserve">Email codes to the account that is the login handle</t>
  </si>
  <si>
    <t xml:space="preserve">The login handle is an email address and one of the factors is a code sent to that same address. That is one factor wearing two hats: anyone who reaches the inbox has everything.</t>
  </si>
  <si>
    <t xml:space="preserve">Use email links for enrolment and verification, not for authentication. The current guidance states that email SHALL NOT be used for out-of-band authentication.</t>
  </si>
  <si>
    <t xml:space="preserve">An email one-time code is a factor (D3) and email is the login handle (C1)</t>
  </si>
  <si>
    <t xml:space="preserve">Risk</t>
  </si>
  <si>
    <t xml:space="preserve">SMS as a factor on a system that moves money</t>
  </si>
  <si>
    <t xml:space="preserve">SIM swapping is the standard attack against exactly this configuration, and account-takeover losses tracked through the FBI’s complaint centre are dominated by it. NIST classifies the public telephone network as a restricted channel for this reason.</t>
  </si>
  <si>
    <t xml:space="preserve">Keep SMS as a last-resort fallback only, never as sufficient authorisation for a payment, a payout-detail change or a limit change. Require a phishing-resistant factor for those actions.</t>
  </si>
  <si>
    <t xml:space="preserve">SMS is a factor (D3) on a system that moves money (A4/A5)</t>
  </si>
  <si>
    <t xml:space="preserve">Administrators authenticate no more strongly than end users</t>
  </si>
  <si>
    <t xml:space="preserve">The accounts that can see everything are protected exactly as well as the accounts that can see one record.</t>
  </si>
  <si>
    <t xml:space="preserve">Set a separate, higher assurance level for privileged access and a shorter session. The current guidance puts the overall reauthentication timeout at no more than 24 hours at AAL2 (SHOULD, with a 1-hour inactivity timeout) and no more than 12 hours at AAL3 (SHALL, with a 15-minute inactivity timeout).</t>
  </si>
  <si>
    <t xml:space="preserve">Admins use the same assurance as users (D2) on a money, safety or regulated system</t>
  </si>
  <si>
    <t xml:space="preserve">Administrative sessions last as long as ordinary ones</t>
  </si>
  <si>
    <t xml:space="preserve">A privileged session left open on an unattended laptop is the cheapest attack there is.</t>
  </si>
  <si>
    <t xml:space="preserve">Cap the administrative session at 12–24 hours absolute with a 15–60 minute idle timeout, and force re-authentication before any dangerous action rather than only at sign-in.</t>
  </si>
  <si>
    <t xml:space="preserve">Admin sessions last as long as ordinary sessions (D6)</t>
  </si>
  <si>
    <t xml:space="preserve">Hard deletion contradicts your retention obligation</t>
  </si>
  <si>
    <t xml:space="preserve">You have committed to destroying rows on request while also being required to keep records for years. One of these will be breached, and you will not get to choose which.</t>
  </si>
  <si>
    <t xml:space="preserve">Replace hard deletion with irreversible anonymisation for retained classes: sever the link to the person, keep the record. Classify every table by retention driver so the rule is executable rather than a matter of judgement at request time.</t>
  </si>
  <si>
    <t xml:space="preserve">Hard deletion (J3) with a multi-year retention obligation (J5)</t>
  </si>
  <si>
    <t xml:space="preserve">You are subject to a regime with erasure rights but have no deletion path</t>
  </si>
  <si>
    <t xml:space="preserve">A data subject request will arrive and there will be no mechanism to answer it within the statutory window.</t>
  </si>
  <si>
    <t xml:space="preserve">Build the request table and the erasure path now. Deciding what “deleted” means per table is the work; the code is small once that decision exists.</t>
  </si>
  <si>
    <t xml:space="preserve">No deletion path (J3) under a regime that grants erasure rights (J1)</t>
  </si>
  <si>
    <t xml:space="preserve">You are storing special-category data but believe no regime applies</t>
  </si>
  <si>
    <t xml:space="preserve">Health, biometric, financial and ethnicity data attract heightened obligations almost everywhere they are processed, and the applicable regime follows the data subject, not your registered office.</t>
  </si>
  <si>
    <t xml:space="preserve">Establish which regimes apply to each user population before you design the schema. It changes retention, consent evidence, breach clocks and residency.</t>
  </si>
  <si>
    <t xml:space="preserve">Special-category attributes selected (C8) but J1 = none</t>
  </si>
  <si>
    <t xml:space="preserve">A standing super-administrator defeats your own approval rules</t>
  </si>
  <si>
    <t xml:space="preserve">You require a second approver for some actions while also keeping an account that can do anything. Whoever holds that account is a single point of both failure and compromise.</t>
  </si>
  <si>
    <t xml:space="preserve">Convert the super-administrator into a break-glass role that must be assumed, is time-boxed, alerts on assumption, and is reviewed afterwards. No standing total power.</t>
  </si>
  <si>
    <t xml:space="preserve">A standing super-admin (H3) alongside second-approver requirements (H5)</t>
  </si>
  <si>
    <t xml:space="preserve">Separation of duties cannot hold if any administrator can grant any role</t>
  </si>
  <si>
    <t xml:space="preserve">Any administrator can grant themselves the other half of a separated duty in one click, and the audit trail will show a legitimate grant followed by a legitimate action.</t>
  </si>
  <si>
    <t xml:space="preserve">Add a grant ceiling — an administrator may only grant what they hold, or only roles explicitly listed as grantable — and check separation constraints at grant time, not only at review time.</t>
  </si>
  <si>
    <t xml:space="preserve">Any admin can grant any role (H2) while duties must be separated (G5)</t>
  </si>
  <si>
    <t xml:space="preserve">Impersonation with no ceremony</t>
  </si>
  <si>
    <t xml:space="preserve">Actions taken while impersonating are indistinguishable from actions taken by the user. When a customer disputes something, you will have no way to answer.</t>
  </si>
  <si>
    <t xml:space="preserve">Require a reason, cap the session, log to both the audit trail and the user’s own security log, and notify the user without an option to suppress it. That combination is the established pattern.</t>
  </si>
  <si>
    <t xml:space="preserve">Impersonation with no ceremony (H4 = unrestricted)</t>
  </si>
  <si>
    <t xml:space="preserve">Impersonation is enabled but not separately audited</t>
  </si>
  <si>
    <t xml:space="preserve">A single actor column cannot distinguish “the user did this” from “support did this as the user”.</t>
  </si>
  <si>
    <t xml:space="preserve">Add a second actor column to every audited event and record the impersonation session id alongside it.</t>
  </si>
  <si>
    <t xml:space="preserve">Write impersonation enabled (H4) but not separately audited (K1)</t>
  </si>
  <si>
    <t xml:space="preserve">Eventual consistency on a path that moves money</t>
  </si>
  <si>
    <t xml:space="preserve">Double-spend, duplicated payouts and lost updates are the normal outcome, and they surface as reconciliation breaks weeks later rather than as errors at the time.</t>
  </si>
  <si>
    <t xml:space="preserve">Keep the money path strictly transactional in a single-writer engine. Use eventual consistency for derived views and read models only.</t>
  </si>
  <si>
    <t xml:space="preserve">Eventual consistency (B9) on a money path (A4/A5)</t>
  </si>
  <si>
    <t xml:space="preserve">A mutable balance column is not an accounting system</t>
  </si>
  <si>
    <t xml:space="preserve">Overwriting a balance destroys the only evidence of how it got there. You cannot reconcile, you cannot answer a dispute, and you cannot reconstruct a position as at a past date.</t>
  </si>
  <si>
    <t xml:space="preserve">Use an immutable double-entry ledger and derive balances, optionally materialising them for speed. Every movement is two entries and no entry is ever updated.</t>
  </si>
  <si>
    <t xml:space="preserve">Money represented as a mutable balance column (X-FIN1)</t>
  </si>
  <si>
    <t xml:space="preserve">Automatic schema synchronisation is not a migration strategy</t>
  </si>
  <si>
    <t xml:space="preserve">It cannot express a backfill, a rename, a concurrent index build, or a rollback — and it will happily drop a column in production.</t>
  </si>
  <si>
    <t xml:space="preserve">Move to reviewed migration files with an explicit rollback path before your first production deployment.</t>
  </si>
  <si>
    <t xml:space="preserve">Automatic schema sync (L8) outside a weeks-long throwaway timeline (L10)</t>
  </si>
  <si>
    <t xml:space="preserve">A network policy service cannot meet a sub-millisecond budget</t>
  </si>
  <si>
    <t xml:space="preserve">One network round trip alone exceeds your stated budget, before the policy is evaluated.</t>
  </si>
  <si>
    <t xml:space="preserve">Either evaluate in-process against a locally cached, version-stamped decision set, or push the decision into the database as a row filter. Keep the policy service for management and distribution, not for the hot path.</t>
  </si>
  <si>
    <t xml:space="preserve">Sub-millisecond check budget (I5) with a network policy service (I6)</t>
  </si>
  <si>
    <t xml:space="preserve">Consider</t>
  </si>
  <si>
    <t xml:space="preserve">You need denies, but you have chosen the one model that has none</t>
  </si>
  <si>
    <t xml:space="preserve">The role-based standard defines no negative permissions. Denies bolted onto a pure role model as ordered rules become unreviewable quickly.</t>
  </si>
  <si>
    <t xml:space="preserve">Keep grants purely additive and put denies in a separate, last-evaluated layer where deny always wins and order never matters.</t>
  </si>
  <si>
    <t xml:space="preserve">Denies required (I4) under a pure core-RBAC configuration (G1/G3)</t>
  </si>
  <si>
    <t xml:space="preserve">Application-level append-only will not satisfy an auditor</t>
  </si>
  <si>
    <t xml:space="preserve">In PostgreSQL a table owner is always treated as holding all grant options, so an append-only trigger constrains application bugs, not privileged people.</t>
  </si>
  <si>
    <t xml:space="preserve">Ship audit records to storage controlled by a different set of credentials. That is the control that survives the question “who could have altered this?”.</t>
  </si>
  <si>
    <t xml:space="preserve">Application-level append-only audit (K3) with routine external scrutiny (K4)</t>
  </si>
  <si>
    <t xml:space="preserve">A national ID or licence number is an identifier, not a credential</t>
  </si>
  <si>
    <t xml:space="preserve">These numbers are widely known, often printed on documents, and cannot be rotated when they leak. Using one as the login handle means the account name is public and permanent.</t>
  </si>
  <si>
    <t xml:space="preserve">Store it as a verified attribute with its own access controls, and issue a separate account identifier. The US federal rule for driver logs takes exactly this position: the record is anchored to the licence, but the licence number must not be the account identifier.</t>
  </si>
  <si>
    <t xml:space="preserve">A national ID or licence number used as a login handle (C1)</t>
  </si>
  <si>
    <t xml:space="preserve">Multi-tenancy is still undecided</t>
  </si>
  <si>
    <t xml:space="preserve">This is the one decision that is genuinely expensive to reverse: adding a tenant column to a live schema means touching every table, every index, every query and every cached decision.</t>
  </si>
  <si>
    <t xml:space="preserve">Add tenant_id everywhere now, even at one tenant. It costs a column today and saves a quarter later.</t>
  </si>
  <si>
    <t xml:space="preserve">Multi-tenancy undecided (A3)</t>
  </si>
  <si>
    <t xml:space="preserve">Under-18 users, with no stated approach to children’s data</t>
  </si>
  <si>
    <t xml:space="preserve">Almost every regime imposes additional conditions for children — a lower age of consent, verifiable parental consent, restrictions on profiling.</t>
  </si>
  <si>
    <t xml:space="preserve">Decide now whether you block, obtain verifiable parental consent, or rely on an institution’s lawful basis. It changes the registration flow and the schema.</t>
  </si>
  <si>
    <t xml:space="preserve">Under-18 users (A2) with no answer to the children-data question (J6)</t>
  </si>
  <si>
    <t xml:space="preserve">Data volume and operational capacity are mismatched</t>
  </si>
  <si>
    <t xml:space="preserve">You are planning for hundreds of millions to billions of rows with one or two generalist developers and no database specialist.</t>
  </si>
  <si>
    <t xml:space="preserve">Reduce the operational surface: one managed database, partitioning from day one, and no additional stores until a measurement forces one. Every extra system costs a person you do not have.</t>
  </si>
  <si>
    <t xml:space="preserve">Large or huge data volume (B1) with a single generalist developer (L1)</t>
  </si>
  <si>
    <t xml:space="preserve">Auditors will ask for access reviews you are not producing</t>
  </si>
  <si>
    <t xml:space="preserve">Recertification evidence is a point-in-time snapshot with a signed decision per line. It cannot be reconstructed from live tables afterwards, because the live tables only show the current state.</t>
  </si>
  <si>
    <t xml:space="preserve">Run scheduled campaigns that snapshot the grants under review and record an explicit decision and reviewer per line.</t>
  </si>
  <si>
    <t xml:space="preserve">No access reviews (H6) with routine or contractual access questions (K4)</t>
  </si>
  <si>
    <t xml:space="preserve">Storing card numbers puts your entire environment in scope</t>
  </si>
  <si>
    <t xml:space="preserve">Everything that stores, processes or transmits card data — and everything connected to it — falls inside the assessed environment.</t>
  </si>
  <si>
    <t xml:space="preserve">Unless you are building a payment processor, use a provider’s hosted fields or tokenisation so the number never reaches your systems. This is the single largest scope reduction available to you.</t>
  </si>
  <si>
    <t xml:space="preserve">Raw card numbers stored (E4)</t>
  </si>
  <si>
    <t xml:space="preserve">No account deletion, under a regime that grants deletion rights</t>
  </si>
  <si>
    <t xml:space="preserve">You will receive the request regardless of whether you built the button.</t>
  </si>
  <si>
    <t xml:space="preserve">Build the request path even if the outcome is anonymisation rather than destruction. What matters is that the request is received, tracked against its statutory deadline, and answered.</t>
  </si>
  <si>
    <t xml:space="preserve">No account deletion feature (E1) under an erasure regime (J1)</t>
  </si>
  <si>
    <t xml:space="preserve">Per-purpose consent with no way for a user to withdraw it</t>
  </si>
  <si>
    <t xml:space="preserve">Withdrawal must be as easy as giving consent. If consent was collected in a checkbox and withdrawal requires an email to support, that test is not met.</t>
  </si>
  <si>
    <t xml:space="preserve">Add a preference centre that writes a withdrawal event to the same log the original consent was written to.</t>
  </si>
  <si>
    <t xml:space="preserve">Per-purpose consent (J2) with no consent centre in the product (E1)</t>
  </si>
  <si>
    <t xml:space="preserve">Two sources of truth for roles</t>
  </si>
  <si>
    <t xml:space="preserve">Roles arrive from the identity provider and can also be edited in your application. Whichever was changed last wins, and nobody can tell which that was.</t>
  </si>
  <si>
    <t xml:space="preserve">Decide which system is authoritative. If it is the identity provider, make in-app roles read-only and record the mapping; if it is your application, stop importing role claims and use the provider for authentication only.</t>
  </si>
  <si>
    <t xml:space="preserve">Roles arrive from the IdP (G2) and are also editable in-app (H1)</t>
  </si>
  <si>
    <t xml:space="preserve">You will be asked to reconstruct a past state you are not recording</t>
  </si>
  <si>
    <t xml:space="preserve">“Who managed this branch in March?” cannot be answered from current-state tables, and the history you did not record cannot be recovered later.</t>
  </si>
  <si>
    <t xml:space="preserve">Add validity periods to assignments, memberships and edges now. This is the least reversible omission in the whole design.</t>
  </si>
  <si>
    <t xml:space="preserve">Current-state-only structure (F3) with routine point-in-time questions (K4)</t>
  </si>
  <si>
    <t xml:space="preserve">Offline clients need permissions that can go stale safely</t>
  </si>
  <si>
    <t xml:space="preserve">A cached permission set is a decision made at a past moment. Without a version stamp you cannot tell how stale it is, and a revocation may never reach the device.</t>
  </si>
  <si>
    <t xml:space="preserve">Stamp every cached decision with a permissions version and a fetch time, enforce a maximum staleness, and re-check dangerous actions online before allowing them.</t>
  </si>
  <si>
    <t xml:space="preserve">Offline clients (B10) with scoped permissions (G3)</t>
  </si>
  <si>
    <t xml:space="preserve">You are collecting a lot of personal data</t>
  </si>
  <si>
    <t xml:space="preserve">Every attribute here is something you must secure, retain to a schedule, disclose on request, and report if breached. The cheapest personal data to protect is the kind you never collected.</t>
  </si>
  <si>
    <t xml:space="preserve">For each attribute, name the specific feature that reads it today. Anything you cannot name, remove from the schema before launch.</t>
  </si>
  <si>
    <t xml:space="preserve">More than six categories of personal attribute selected (C8)</t>
  </si>
  <si>
    <t xml:space="preserve">An exact date of birth where an age band would do</t>
  </si>
  <si>
    <t xml:space="preserve">A birth date is a strong identifier and a common knowledge-based-authentication answer. An age band answers most product questions and identifies nobody.</t>
  </si>
  <si>
    <t xml:space="preserve">Verify once, store the band, discard the date — unless a rule genuinely depends on the exact day.</t>
  </si>
  <si>
    <t xml:space="preserve">Exact date of birth (C9) with no rule that needs the exact day</t>
  </si>
  <si>
    <t xml:space="preserve">Decision area</t>
  </si>
  <si>
    <t xml:space="preserve">Condition</t>
  </si>
  <si>
    <t xml:space="preserve">Primary recommendation</t>
  </si>
  <si>
    <t xml:space="preserve">Alternative</t>
  </si>
  <si>
    <t xml:space="preserve">Switch when</t>
  </si>
  <si>
    <t xml:space="preserve">Primary datastore</t>
  </si>
  <si>
    <t xml:space="preserve">B10 = full offline writes</t>
  </si>
  <si>
    <t xml:space="preserve">PostgreSQL on the server + SQLite on each device, with an explicit versioned sync protocol</t>
  </si>
  <si>
    <t xml:space="preserve">A sync-first platform (ElectricSQL, PowerSync, CouchDB/PouchDB)</t>
  </si>
  <si>
    <t xml:space="preserve">Switch to a sync platform once hand-rolled conflict resolution passes a few hundred lines, or two clients can legitimately edit the same row</t>
  </si>
  <si>
    <t xml:space="preserve">PG-DOCS / SQLITE</t>
  </si>
  <si>
    <t xml:space="preserve">L2 = serverless runtime</t>
  </si>
  <si>
    <t xml:space="preserve">Serverless-native managed PostgreSQL (Neon, Aurora Serverless v2, Cloud SQL/AlloyDB) behind a pooler</t>
  </si>
  <si>
    <t xml:space="preserve">Provider-native store (DynamoDB, Firestore, D1)</t>
  </si>
  <si>
    <t xml:space="preserve">Only if access patterns are genuinely key-value and you will never need a join, a report or a foreign key</t>
  </si>
  <si>
    <t xml:space="preserve">PG-DOCS</t>
  </si>
  <si>
    <t xml:space="preserve">B1 = tiny AND A3 = single AND B3 = &lt;100 concurrent AND not regulated AND one country</t>
  </si>
  <si>
    <t xml:space="preserve">PostgreSQL 18</t>
  </si>
  <si>
    <t xml:space="preserve">SQLite in WAL mode, embedded</t>
  </si>
  <si>
    <t xml:space="preserve">SQLite stops being viable at a second writing app node, a network filesystem, or per-role row filtering in the database</t>
  </si>
  <si>
    <t xml:space="preserve">SQLITE</t>
  </si>
  <si>
    <t xml:space="preserve">B5 = polymorphic AND money is not involved</t>
  </si>
  <si>
    <t xml:space="preserve">PostgreSQL with jsonb for the variable part, columns for the stable part</t>
  </si>
  <si>
    <t xml:space="preserve">MongoDB</t>
  </si>
  <si>
    <t xml:space="preserve">Move to a document store when under ~40% of fields are shared across records AND no query ever relates two record types</t>
  </si>
  <si>
    <t xml:space="preserve">MONGO</t>
  </si>
  <si>
    <t xml:space="preserve">B6 = global AND L4 &gt;= 99.95% AND money/strict consistency</t>
  </si>
  <si>
    <t xml:space="preserve">Distributed SQL (CockroachDB, YugabyteDB, Spanner)</t>
  </si>
  <si>
    <t xml:space="preserve">When a single write region cannot meet latency in a second region, or regional write outage becomes commercially unacceptable</t>
  </si>
  <si>
    <t xml:space="preserve">B1 in (large, huge) AND B4 = dominant event stream</t>
  </si>
  <si>
    <t xml:space="preserve">PostgreSQL 18 for entities</t>
  </si>
  <si>
    <t xml:space="preserve">PostgreSQL + ClickHouse for the event stream</t>
  </si>
  <si>
    <t xml:space="preserve">Split when the event table alone passes ~1 billion rows, or analytical scans interfere with transactional latency</t>
  </si>
  <si>
    <t xml:space="preserve">CLICKHOUSE</t>
  </si>
  <si>
    <t xml:space="preserve">Default</t>
  </si>
  <si>
    <t xml:space="preserve">Managed MySQL 8.4 LTS</t>
  </si>
  <si>
    <t xml:space="preserve">Only for an existing-expertise or existing-platform reason; no capability in this matrix is MySQL-only, and several are PostgreSQL-only</t>
  </si>
  <si>
    <t xml:space="preserve">Tenancy</t>
  </si>
  <si>
    <t xml:space="preserve">A3 = single</t>
  </si>
  <si>
    <t xml:space="preserve">One dataset, but with an organisational scope column from day one</t>
  </si>
  <si>
    <t xml:space="preserve">Add tenant_id anyway</t>
  </si>
  <si>
    <t xml:space="preserve">Add tenant_id now if any commercial scenario has a second organisation using the system</t>
  </si>
  <si>
    <t xml:space="preserve">PG-RLS</t>
  </si>
  <si>
    <t xml:space="preserve">A3 = schema-per-tenant</t>
  </si>
  <si>
    <t xml:space="preserve">Schema-per-tenant on one cluster; route by search_path at checkout</t>
  </si>
  <si>
    <t xml:space="preserve">Shared schema + tenant_id + RESTRICTIVE RLS</t>
  </si>
  <si>
    <t xml:space="preserve">Move to shared past roughly 500-1,000 tenants: migrations become N-schema batch jobs and catalogue overhead dominates</t>
  </si>
  <si>
    <t xml:space="preserve">A3 in (shared, hybrid, unsure)</t>
  </si>
  <si>
    <t xml:space="preserve">Shared schema, tenant_id on every row, RESTRICTIVE RLS with FORCE, tenant read as (SELECT fn()) for InitPlan hoisting</t>
  </si>
  <si>
    <t xml:space="preserve">Dedicated database for named large customers, chosen by a placement lookup</t>
  </si>
  <si>
    <t xml:space="preserve">Split a tenant at ~100x median size or on a contractual isolation requirement; build the placement indirection first</t>
  </si>
  <si>
    <t xml:space="preserve">PG-RLS / SUPABASE</t>
  </si>
  <si>
    <t xml:space="preserve">Search</t>
  </si>
  <si>
    <t xml:space="preserve">B7 = prefix/substring</t>
  </si>
  <si>
    <t xml:space="preserve">PostgreSQL B-tree + pg_trgm GIN</t>
  </si>
  <si>
    <t xml:space="preserve">A dedicated search engine</t>
  </si>
  <si>
    <t xml:space="preserve">When relevance ordering, not matching, becomes the complaint</t>
  </si>
  <si>
    <t xml:space="preserve">B7 = ranked full text</t>
  </si>
  <si>
    <t xml:space="preserve">PostgreSQL tsvector + GIN on a generated column</t>
  </si>
  <si>
    <t xml:space="preserve">OpenSearch / Elasticsearch / Typesense via CDC</t>
  </si>
  <si>
    <t xml:space="preserve">Past roughly 5 million documents, or when synonyms, per-tenant tuning or multi-dimension faceting are required</t>
  </si>
  <si>
    <t xml:space="preserve">B7 = typo tolerance / facets / synonyms</t>
  </si>
  <si>
    <t xml:space="preserve">Dedicated engine (Typesense or Meilisearch small, OpenSearch or Elasticsearch large)</t>
  </si>
  <si>
    <t xml:space="preserve">PostgreSQL FTS + pg_trgm</t>
  </si>
  <si>
    <t xml:space="preserve">Stay in PostgreSQL under a few hundred thousand documents if 'good enough ordering' is truly acceptable</t>
  </si>
  <si>
    <t xml:space="preserve">B7 = semantic / vector</t>
  </si>
  <si>
    <t xml:space="preserve">pgvector with an HNSW index, inside PostgreSQL</t>
  </si>
  <si>
    <t xml:space="preserve">Dedicated vector store (Qdrant, Weaviate, Milvus)</t>
  </si>
  <si>
    <t xml:space="preserve">Past roughly 10-50 million vectors, or when high-QPS filtered ANN stops meeting latency</t>
  </si>
  <si>
    <t xml:space="preserve">PGVECTOR</t>
  </si>
  <si>
    <t xml:space="preserve">Analytics</t>
  </si>
  <si>
    <t xml:space="preserve">B8 = operational dashboards</t>
  </si>
  <si>
    <t xml:space="preserve">Read replica + materialised views refreshed concurrently</t>
  </si>
  <si>
    <t xml:space="preserve">Columnar extension or external warehouse</t>
  </si>
  <si>
    <t xml:space="preserve">When a refresh takes longer than the interval you want to refresh at</t>
  </si>
  <si>
    <t xml:space="preserve">B8 = heavy aggregation</t>
  </si>
  <si>
    <t xml:space="preserve">ClickHouse (or DuckDB over Parquet at smaller volume) fed by CDC</t>
  </si>
  <si>
    <t xml:space="preserve">Managed warehouse (BigQuery, Snowflake, Redshift)</t>
  </si>
  <si>
    <t xml:space="preserve">Warehouse when analytics is a scheduled business function; ClickHouse when sub-second aggregation is user-visible</t>
  </si>
  <si>
    <t xml:space="preserve">B8 = warehouse already planned</t>
  </si>
  <si>
    <t xml:space="preserve">Log-based CDC (Debezium or native) into the warehouse</t>
  </si>
  <si>
    <t xml:space="preserve">Scheduled batch extracts</t>
  </si>
  <si>
    <t xml:space="preserve">Batch is only correct while every table is append-only or soft-deleted; the first hard delete makes it wrong, not merely stale</t>
  </si>
  <si>
    <t xml:space="preserve">Event storage</t>
  </si>
  <si>
    <t xml:space="preserve">B4 = dominant AND B1 in (large, huge)</t>
  </si>
  <si>
    <t xml:space="preserve">TimescaleDB hypertables, or ClickHouse if the stream is the product</t>
  </si>
  <si>
    <t xml:space="preserve">Native PostgreSQL range partitioning + BRIN</t>
  </si>
  <si>
    <t xml:space="preserve">Native partitioning suffices until compression ratio or continuous aggregates bind, typically past a few hundred million rows per table per year</t>
  </si>
  <si>
    <t xml:space="preserve">TIMESCALE</t>
  </si>
  <si>
    <t xml:space="preserve">B4 = secondary, or long audit retention</t>
  </si>
  <si>
    <t xml:space="preserve">Native PostgreSQL range partitioning by time, BRIN on the timestamp</t>
  </si>
  <si>
    <t xml:space="preserve">TimescaleDB hypertables</t>
  </si>
  <si>
    <t xml:space="preserve">Adopt Timescale when you are hand-writing partition cron jobs, or uncompressed history cost becomes material</t>
  </si>
  <si>
    <t xml:space="preserve">PG-PART</t>
  </si>
  <si>
    <t xml:space="preserve">Cache / async</t>
  </si>
  <si>
    <t xml:space="preserve">B3 high, or bursty, or read-heavy at scale</t>
  </si>
  <si>
    <t xml:space="preserve">Redis or Valkey for cache and rate limiting, plus a queue</t>
  </si>
  <si>
    <t xml:space="preserve">Durable log or managed queue (Kafka, SQS, Pub/Sub)</t>
  </si>
  <si>
    <t xml:space="preserve">Move off a DB-backed queue past a few thousand jobs/second sustained, or when a second independent consumer needs the same stream</t>
  </si>
  <si>
    <t xml:space="preserve">Otherwise</t>
  </si>
  <si>
    <t xml:space="preserve">No cache; PostgreSQL job queue with SELECT ... FOR UPDATE SKIP LOCKED</t>
  </si>
  <si>
    <t xml:space="preserve">Redis or Valkey</t>
  </si>
  <si>
    <t xml:space="preserve">Add a cache only for a profiled hot path that tolerates staleness</t>
  </si>
  <si>
    <t xml:space="preserve">Identity build/buy</t>
  </si>
  <si>
    <t xml:space="preserve">J4 = residency required by law, or L2 = on-premises</t>
  </si>
  <si>
    <t xml:space="preserve">Self-hosted open source (Keycloak, Ory, Zitadel, Authentik)</t>
  </si>
  <si>
    <t xml:space="preserve">Build authentication into the application</t>
  </si>
  <si>
    <t xml:space="preserve">Build in-app only while you support a password and one second factor; SAML, SCIM or passkey attestation flips the calculation</t>
  </si>
  <si>
    <t xml:space="preserve">OIDC / SCIM</t>
  </si>
  <si>
    <t xml:space="preserve">L11 = buy, or small team on a short timeline</t>
  </si>
  <si>
    <t xml:space="preserve">Hosted IdP (Auth0, Clerk, WorkOS, Firebase, Cognito, Stytch, Supabase Auth) - verify current per-MAU pricing at your expected tier</t>
  </si>
  <si>
    <t xml:space="preserve">Self-hosted open source</t>
  </si>
  <si>
    <t xml:space="preserve">When per-user cost exceeds the loaded cost of the engineer who would run it, or a contract requires identity inside your perimeter. Verify the export path first: some providers cannot export password hashes at all</t>
  </si>
  <si>
    <t xml:space="preserve">Build the core (principal, session, authenticator); buy SAML/SCIM federation</t>
  </si>
  <si>
    <t xml:space="preserve">Hosted IdP for everything</t>
  </si>
  <si>
    <t xml:space="preserve">Buy it all if authentication is not a differentiator and the team is under ~5 engineers. Build the core if permission checks must run in the same transaction as the write they authorise</t>
  </si>
  <si>
    <t xml:space="preserve">OIDC / SCIM / OAUTH-BCP</t>
  </si>
  <si>
    <t xml:space="preserve">D1/D2 phishing-resistant, or money, or safety</t>
  </si>
  <si>
    <t xml:space="preserve">Passkeys primary; device-bound passkeys or security keys for administrators</t>
  </si>
  <si>
    <t xml:space="preserve">Password + number-matched push or TOTP, with passkeys alongside</t>
  </si>
  <si>
    <t xml:space="preserve">Remove the weaker factor for a population once passkey enrolment passes ~80%; a permanent fallback is a downgrade path an attacker selects</t>
  </si>
  <si>
    <t xml:space="preserve">NIST-63B / WEBAUTHN / CF-2022</t>
  </si>
  <si>
    <t xml:space="preserve">Password (15-char minimum as sole factor, no composition rules, no rotation, breach-list screened) plus a second factor</t>
  </si>
  <si>
    <t xml:space="preserve">Passkey-first with password fallback</t>
  </si>
  <si>
    <t xml:space="preserve">Go passkey-first as soon as platform mix allows; later migration cost is communication, not engineering</t>
  </si>
  <si>
    <t xml:space="preserve">NIST-63B</t>
  </si>
  <si>
    <t xml:space="preserve">D3 includes SMS</t>
  </si>
  <si>
    <t xml:space="preserve">Keep as last-resort fallback only, never sufficient alone for a privileged action</t>
  </si>
  <si>
    <t xml:space="preserve">Number-matched push or TOTP</t>
  </si>
  <si>
    <t xml:space="preserve">Any money movement, payout change or limit change requires a phishing-resistant factor</t>
  </si>
  <si>
    <t xml:space="preserve">CISA / GOOGLE-2019 / FBI-IC3</t>
  </si>
  <si>
    <t xml:space="preserve">Recovery</t>
  </si>
  <si>
    <t xml:space="preserve">D4 in (second authenticator, backup codes)</t>
  </si>
  <si>
    <t xml:space="preserve">A second authenticator enrolled at registration</t>
  </si>
  <si>
    <t xml:space="preserve">Hashed single-use backup codes</t>
  </si>
  <si>
    <t xml:space="preserve">Add a support-desk path only on measured lockouts, and re-proof at least as strongly as at registration</t>
  </si>
  <si>
    <t xml:space="preserve">D4 in (email link, SMS, helpdesk, admin)</t>
  </si>
  <si>
    <t xml:space="preserve">Require a second authenticator at enrolment and make it the recovery path</t>
  </si>
  <si>
    <t xml:space="preserve">Support-desk recovery with re-proofing recorded as an event</t>
  </si>
  <si>
    <t xml:space="preserve">Keeping an emailed or texted reset means the account is single-factor for risk purposes regardless of the login screen</t>
  </si>
  <si>
    <t xml:space="preserve">NIST-63B / NIST-63A</t>
  </si>
  <si>
    <t xml:space="preserve">I1 includes relationship/assignment, or I3 = nested, AND reverse queries needed</t>
  </si>
  <si>
    <t xml:space="preserve">Relationship-based (Zanzibar-style): OpenFGA (CNCF Incubating since Oct 2025) or SpiceDB</t>
  </si>
  <si>
    <t xml:space="preserve">Closure table in PostgreSQL + RLS</t>
  </si>
  <si>
    <t xml:space="preserve">Stay in PostgreSQL while the sharing graph is a tree you control; move when arbitrary users share arbitrary objects with arbitrary groups</t>
  </si>
  <si>
    <t xml:space="preserve">ZANZIBAR / OPENFGA</t>
  </si>
  <si>
    <t xml:space="preserve">I1 includes attributes/state/clearance/consent AND &gt;2 input kinds</t>
  </si>
  <si>
    <t xml:space="preserve">RBAC backbone + policy engine (Cedar, OPA, Cerbos)</t>
  </si>
  <si>
    <t xml:space="preserve">Conditions stored as data on the grant, evaluated in the application</t>
  </si>
  <si>
    <t xml:space="preserve">Introduce a policy engine when conditions must be changed without a deploy, or enforced by more than one service</t>
  </si>
  <si>
    <t xml:space="preserve">CEDAR / NIST-162</t>
  </si>
  <si>
    <t xml:space="preserve">G3 scoped, or deep org</t>
  </si>
  <si>
    <t xml:space="preserve">Hierarchical RBAC with scoped assignments: (principal, role, scope node, inheritable, valid period)</t>
  </si>
  <si>
    <t xml:space="preserve">Flat RBAC + explicit unit filter in every query</t>
  </si>
  <si>
    <t xml:space="preserve">If flat, also enforce the unit filter as RLS so a forgotten WHERE is an empty result, not a cross-branch leak</t>
  </si>
  <si>
    <t xml:space="preserve">RBAC-359</t>
  </si>
  <si>
    <t xml:space="preserve">Small role count, global scope</t>
  </si>
  <si>
    <t xml:space="preserve">Core RBAC</t>
  </si>
  <si>
    <t xml:space="preserve">Scoped assignments</t>
  </si>
  <si>
    <t xml:space="preserve">Adopt scoping at the first 'only for their own branch', 'only until Friday' or 'only while covering'</t>
  </si>
  <si>
    <t xml:space="preserve">I4 requires denies</t>
  </si>
  <si>
    <t xml:space="preserve">Denies in a separate, last-evaluated layer where deny always wins</t>
  </si>
  <si>
    <t xml:space="preserve">Ordered rules</t>
  </si>
  <si>
    <t xml:space="preserve">Never ordered rules. XACML's eight combining algorithms exist because ordering is hard to reason about</t>
  </si>
  <si>
    <t xml:space="preserve">XACML / CEDAR</t>
  </si>
  <si>
    <t xml:space="preserve">F2 = multiple overlapping hierarchies</t>
  </si>
  <si>
    <t xml:space="preserve">One org_node table + one org_edge table keyed by hierarchy_id, with a per-hierarchy single-parent exclusion constraint</t>
  </si>
  <si>
    <t xml:space="preserve">A separate table per hierarchy</t>
  </si>
  <si>
    <t xml:space="preserve">Separate tables only if hierarchies have genuinely different node types and never share traversal code</t>
  </si>
  <si>
    <t xml:space="preserve">SILVERSTON</t>
  </si>
  <si>
    <t xml:space="preserve">F2 = arbitrary depth</t>
  </si>
  <si>
    <t xml:space="preserve">Adjacency list for writes + materialised ltree path for reads, maintained by trigger</t>
  </si>
  <si>
    <t xml:space="preserve">Recursive CTEs over adjacency alone</t>
  </si>
  <si>
    <t xml:space="preserve">Benchmark on ~264k descendants: adjacency ~2,080 ms, ltree ~512 ms, integer-array path ~378 ms. Below a few thousand nodes the recursive query is fine</t>
  </si>
  <si>
    <t xml:space="preserve">GBIF</t>
  </si>
  <si>
    <t xml:space="preserve">F2 = flat or fixed depth</t>
  </si>
  <si>
    <t xml:space="preserve">Parent reference + depth check</t>
  </si>
  <si>
    <t xml:space="preserve">Adjacency + materialised path</t>
  </si>
  <si>
    <t xml:space="preserve">Add the path when depth becomes variable or a traversal appears in a request path</t>
  </si>
  <si>
    <t xml:space="preserve">F3 = historical or future-dated</t>
  </si>
  <si>
    <t xml:space="preserve">Validity periods (tstzrange) on every assignment, membership and edge; exclusion constraints reject overlap; 'current' is a view</t>
  </si>
  <si>
    <t xml:space="preserve">Current-state tables</t>
  </si>
  <si>
    <t xml:space="preserve">Not retrofittable. History you did not record does not exist</t>
  </si>
  <si>
    <t xml:space="preserve">KIMBALL / ED-FI</t>
  </si>
  <si>
    <t xml:space="preserve">Custom roles</t>
  </si>
  <si>
    <t xml:space="preserve">H1 = catalogue or per-tenant</t>
  </si>
  <si>
    <t xml:space="preserve">Custom role = base role + explicit added/removed permission delta</t>
  </si>
  <si>
    <t xml:space="preserve">Free assembly from the full catalogue</t>
  </si>
  <si>
    <t xml:space="preserve">Free assembly only for customers with an identity or security function; base-plus-delta is far easier to support and upgrade</t>
  </si>
  <si>
    <t xml:space="preserve">RBAC-359 / STRIPE-ROLES</t>
  </si>
  <si>
    <t xml:space="preserve">H1 = fixed</t>
  </si>
  <si>
    <t xml:space="preserve">Fixed shipped roles, but build the permission registry now</t>
  </si>
  <si>
    <t xml:space="preserve">Administrator-defined roles</t>
  </si>
  <si>
    <t xml:space="preserve">Build the editor when the second customer asks for a role you do not ship. Build the registry today regardless</t>
  </si>
  <si>
    <t xml:space="preserve">H2 = any admin can grant anything</t>
  </si>
  <si>
    <t xml:space="preserve">Add a grant ceiling: an admin may grant only what they hold, or only explicitly grantable roles</t>
  </si>
  <si>
    <t xml:space="preserve">Approval on privileged grants</t>
  </si>
  <si>
    <t xml:space="preserve">Without a ceiling every administrator is a super-administrator whatever the UI implies</t>
  </si>
  <si>
    <t xml:space="preserve">NIST-53</t>
  </si>
  <si>
    <t xml:space="preserve">Impersonation</t>
  </si>
  <si>
    <t xml:space="preserve">H4 = full impersonation</t>
  </si>
  <si>
    <t xml:space="preserve">Mandatory reason, one-hour limit, dual logging, non-suppressible email to the user</t>
  </si>
  <si>
    <t xml:space="preserve">Read-only 'view as'</t>
  </si>
  <si>
    <t xml:space="preserve">Start read-only; add write impersonation only for named workflows that cannot be done otherwise, and instrument usage</t>
  </si>
  <si>
    <t xml:space="preserve">GITHUB-IMP / AUTH0-IMP</t>
  </si>
  <si>
    <t xml:space="preserve">C7 has proxies/delegates</t>
  </si>
  <si>
    <t xml:space="preserve">Delegation preserves both identities (RFC 8693 act claim); never share a code path with impersonation</t>
  </si>
  <si>
    <t xml:space="preserve">-</t>
  </si>
  <si>
    <t xml:space="preserve">A receiver must consider only the top-level claims and the current actor</t>
  </si>
  <si>
    <t xml:space="preserve">RFC-8693</t>
  </si>
  <si>
    <t xml:space="preserve">Audit</t>
  </si>
  <si>
    <t xml:space="preserve">K3 = off-box or cryptographic</t>
  </si>
  <si>
    <t xml:space="preserve">Structured application events written in the same transaction, then shipped to separately controlled storage</t>
  </si>
  <si>
    <t xml:space="preserve">Row-change triggers as a safety net</t>
  </si>
  <si>
    <t xml:space="preserve">Use both, for different questions: events answer intent, triggers answer what changed at 03:00</t>
  </si>
  <si>
    <t xml:space="preserve">NIST-53 / PG-PRIV</t>
  </si>
  <si>
    <t xml:space="preserve">K3 = none or application-level</t>
  </si>
  <si>
    <t xml:space="preserve">Structured application events in the same transaction as the action</t>
  </si>
  <si>
    <t xml:space="preserve">Background audit stream</t>
  </si>
  <si>
    <t xml:space="preserve">Move out of the transaction only with an outbox that preserves the guarantee</t>
  </si>
  <si>
    <t xml:space="preserve">K1 includes before/after values</t>
  </si>
  <si>
    <t xml:space="preserve">Custom delta-capturing trigger, partitioned</t>
  </si>
  <si>
    <t xml:space="preserve">A generic row-audit extension</t>
  </si>
  <si>
    <t xml:space="preserve">No generally maintained generic PostgreSQL row-audit extension exists: supa_audit archived Feb 2025, pgMemento last released 2022, 2ndQuadrant audit-trigger closed to PRs</t>
  </si>
  <si>
    <t xml:space="preserve">SUPA-AUDIT / AHA</t>
  </si>
  <si>
    <t xml:space="preserve">K1 includes reads of sensitive records</t>
  </si>
  <si>
    <t xml:space="preserve">Log at query-intent level, not per row returned; partition aggressively</t>
  </si>
  <si>
    <t xml:space="preserve">Per-row read logging</t>
  </si>
  <si>
    <t xml:space="preserve">The most expensive audit requirement there is: read volume is typically 10-100x write volume</t>
  </si>
  <si>
    <t xml:space="preserve">HIPAA</t>
  </si>
  <si>
    <t xml:space="preserve">Privacy</t>
  </si>
  <si>
    <t xml:space="preserve">J2 = per purpose or versioned</t>
  </si>
  <si>
    <t xml:space="preserve">Append-only consent event log: purpose, notice version, hash of text presented, mechanism, timestamp, source; current state is a view</t>
  </si>
  <si>
    <t xml:space="preserve">Current-state table + separate history table</t>
  </si>
  <si>
    <t xml:space="preserve">If you keep a current-state table for speed, generate it from the log; dual writes drift</t>
  </si>
  <si>
    <t xml:space="preserve">GDPR-7</t>
  </si>
  <si>
    <t xml:space="preserve">J3 requires erasure AND long retention</t>
  </si>
  <si>
    <t xml:space="preserve">Retention classes: discretionary deleted, contractual retained to clock, legal-claims retained to clock, audit pseudonymised, erasure recorded in a tombstone</t>
  </si>
  <si>
    <t xml:space="preserve">Hard delete</t>
  </si>
  <si>
    <t xml:space="preserve">Hard deletion and multi-year retention cannot both be satisfied; classify or you will breach one of them</t>
  </si>
  <si>
    <t xml:space="preserve">GDPR-17</t>
  </si>
  <si>
    <t xml:space="preserve">J3 = crypto-shredding</t>
  </si>
  <si>
    <t xml:space="preserve">Per-subject key destruction, with a written rationale</t>
  </si>
  <si>
    <t xml:space="preserve">Anonymisation in place</t>
  </si>
  <si>
    <t xml:space="preserve">Key destruction is a recognised Purge technique for encrypted media, but no EU or UK regulator has endorsed it alone as Article 17 erasure</t>
  </si>
  <si>
    <t xml:space="preserve">NIST-88</t>
  </si>
  <si>
    <t xml:space="preserve">Data access layer</t>
  </si>
  <si>
    <t xml:space="preserve">L6/L7 combination</t>
  </si>
  <si>
    <t xml:space="preserve">See the language-by-preference map in the questionnaire</t>
  </si>
  <si>
    <t xml:space="preserve">Second-choice tool for the same language</t>
  </si>
  <si>
    <t xml:space="preserve">Switch when fighting the tool on the queries that matter - but measure first; most 'ORM is slow' findings are a missing index or join strategy</t>
  </si>
  <si>
    <t xml:space="preserve">Any</t>
  </si>
  <si>
    <t xml:space="preserve">The ORM must not own the schema; the app role must not own the tables (owners bypass RLS unless FORCED); every list endpoint needs an explicit join strategy</t>
  </si>
  <si>
    <t xml:space="preserve">PG-RLS / PG-PRIV</t>
  </si>
  <si>
    <t xml:space="preserve">Availability</t>
  </si>
  <si>
    <t xml:space="preserve">L4 &gt;= 99.95% or L5 = zero data loss</t>
  </si>
  <si>
    <t xml:space="preserve">Managed PostgreSQL, synchronous replication to a second AZ, continuous archiving for PITR</t>
  </si>
  <si>
    <t xml:space="preserve">Asynchronous replication with measured lag</t>
  </si>
  <si>
    <t xml:space="preserve">Synchronous costs a round trip per commit; pay it only where a lost committed write is a business incident</t>
  </si>
  <si>
    <t xml:space="preserve">Managed PostgreSQL with automated backups and PITR; read replica when reads justify it</t>
  </si>
  <si>
    <t xml:space="preserve">Self-managed with pgBackRest and a standby</t>
  </si>
  <si>
    <t xml:space="preserve">Self-manage when the managed bill funds the expertise, and only after timing a real restore</t>
  </si>
  <si>
    <t xml:space="preserve">Domain-specific requirements</t>
  </si>
  <si>
    <t xml:space="preserve">X-FIN1 = ledger or ledger + materialised balances</t>
  </si>
  <si>
    <t xml:space="preserve">Immutable double-entry ledger; balances derived (and materialised, rebuilt from the ledger); money as numeric/scaled integer with a currency column</t>
  </si>
  <si>
    <t xml:space="preserve">Mutable balance column</t>
  </si>
  <si>
    <t xml:space="preserve">Never: a balance column destroys the evidence of how the balance was reached</t>
  </si>
  <si>
    <t xml:space="preserve">PCI-DSS</t>
  </si>
  <si>
    <t xml:space="preserve">X-FIN2 = limits vary by role / tier / both</t>
  </si>
  <si>
    <t xml:space="preserve">Limits as data: limit_rule(scope, subject_type, subject_key, daily, single, effective_from), evaluated at authorisation time</t>
  </si>
  <si>
    <t xml:space="preserve">Limits in configuration constants or role names</t>
  </si>
  <si>
    <t xml:space="preserve">The first per-customer exception</t>
  </si>
  <si>
    <t xml:space="preserve">STRIPE-ROLES</t>
  </si>
  <si>
    <t xml:space="preserve">X-FIN4 = daily or real-time reconciliation</t>
  </si>
  <si>
    <t xml:space="preserve">Reconciliation run + break tables with an owner and a resolution per unexplained difference</t>
  </si>
  <si>
    <t xml:space="preserve">A spreadsheet</t>
  </si>
  <si>
    <t xml:space="preserve">When unresolved breaks must block close</t>
  </si>
  <si>
    <t xml:space="preserve">X-HLT1 = care relationship / combo</t>
  </si>
  <si>
    <t xml:space="preserve">care_relationship(practitioner, patient, role, location, period) joined by the permission check</t>
  </si>
  <si>
    <t xml:space="preserve">Role alone</t>
  </si>
  <si>
    <t xml:space="preserve">Role alone never answers the clinical access question</t>
  </si>
  <si>
    <t xml:space="preserve">FHIR</t>
  </si>
  <si>
    <t xml:space="preserve">X-HLT2 = break-glass</t>
  </si>
  <si>
    <t xml:space="preserve">Eligible clinical break-glass role: activation with mandatory reason, alert, post-hoc review; never blocked</t>
  </si>
  <si>
    <t xml:space="preserve">Blocking out-of-relationship access</t>
  </si>
  <si>
    <t xml:space="preserve">Blocking is dangerous in an emergency; grant, justify, review</t>
  </si>
  <si>
    <t xml:space="preserve">X-HLT3 = per organisation / fine-grained</t>
  </si>
  <si>
    <t xml:space="preserve">Consent scope rows per data category x recipient x period, as an input to the permission check</t>
  </si>
  <si>
    <t xml:space="preserve">One share flag</t>
  </si>
  <si>
    <t xml:space="preserve">A single flag cannot express the cases that arise</t>
  </si>
  <si>
    <t xml:space="preserve">X-B2B1 = 100x skew</t>
  </si>
  <si>
    <t xml:space="preserve">Tenant placement indirection built before the first enterprise deal</t>
  </si>
  <si>
    <t xml:space="preserve">Shared placement for all</t>
  </si>
  <si>
    <t xml:space="preserve">When one tenant is 100x the median</t>
  </si>
  <si>
    <t xml:space="preserve">X-B2B2 = guests</t>
  </si>
  <si>
    <t xml:space="preserve">Guest membership class; one principal with memberships in many tenants</t>
  </si>
  <si>
    <t xml:space="preserve">One account per tenant</t>
  </si>
  <si>
    <t xml:space="preserve">Consultants in several tenants reuse credentials if forced to separate accounts</t>
  </si>
  <si>
    <t xml:space="preserve">X-B2B3 = self-service / contractual</t>
  </si>
  <si>
    <t xml:space="preserve">Tenant export and deletion path with a certificate</t>
  </si>
  <si>
    <t xml:space="preserve">Manual on request</t>
  </si>
  <si>
    <t xml:space="preserve">Asked in the first enterprise security review</t>
  </si>
  <si>
    <t xml:space="preserve">X-COM1 = multiple locations</t>
  </si>
  <si>
    <t xml:space="preserve">stock_movement ledger per location; on-hand derived</t>
  </si>
  <si>
    <t xml:space="preserve">Quantity column</t>
  </si>
  <si>
    <t xml:space="preserve">A quantity column cannot represent a transfer in flight</t>
  </si>
  <si>
    <t xml:space="preserve">X-COM2 = physical POS</t>
  </si>
  <si>
    <t xml:space="preserve">Device session separate from human session; PIN/badge re-auth; allowed / denied / approval-required permissions</t>
  </si>
  <si>
    <t xml:space="preserve">One shared login per till</t>
  </si>
  <si>
    <t xml:space="preserve">Accountability at a till cannot depend on remembering to sign out</t>
  </si>
  <si>
    <t xml:space="preserve">SHOPIFY</t>
  </si>
  <si>
    <t xml:space="preserve">X-LOG1 = licence tracked / blocks</t>
  </si>
  <si>
    <t xml:space="preserve">staff_credential with its own expiry; expired credential blocks assignment by constraint</t>
  </si>
  <si>
    <t xml:space="preserve">Licence number as username or a report</t>
  </si>
  <si>
    <t xml:space="preserve">The licence expires; the account does not</t>
  </si>
  <si>
    <t xml:space="preserve">CFR-395</t>
  </si>
  <si>
    <t xml:space="preserve">X-LOG2 = continuous telemetry</t>
  </si>
  <si>
    <t xml:space="preserve">Telemetry in its own time-partitioned table or store; store the events you act on</t>
  </si>
  <si>
    <t xml:space="preserve">Telemetry on the work-order row</t>
  </si>
  <si>
    <t xml:space="preserve">Positions and readings are a separate storage problem</t>
  </si>
  <si>
    <t xml:space="preserve">X-EDU1 = term / course bounded</t>
  </si>
  <si>
    <t xml:space="preserve">Dated enrolment and teaching associations with validity periods</t>
  </si>
  <si>
    <t xml:space="preserve">Permanent class links</t>
  </si>
  <si>
    <t xml:space="preserve">Last year's class is a different fact from this year's</t>
  </si>
  <si>
    <t xml:space="preserve">ED-FI</t>
  </si>
  <si>
    <t xml:space="preserve">X-EDU2 = guardian access</t>
  </si>
  <si>
    <t xml:space="preserve">proxy_access with capacity guardian and an automatic lapse at the age threshold</t>
  </si>
  <si>
    <t xml:space="preserve">Permanent guardian link</t>
  </si>
  <si>
    <t xml:space="preserve">Wrong the day the learner reaches the threshold</t>
  </si>
  <si>
    <t xml:space="preserve">X-GOV1 = statutory schedule</t>
  </si>
  <si>
    <t xml:space="preserve">retention_policy rows carrying the schedule authority; disposal as an audited event</t>
  </si>
  <si>
    <t xml:space="preserve">Retention as policy text</t>
  </si>
  <si>
    <t xml:space="preserve">When more than one person can create a processing purpose</t>
  </si>
  <si>
    <t xml:space="preserve">G6 = roster-bound (soft / hard)</t>
  </si>
  <si>
    <t xml:space="preserve">Roster window on the staff assignment; soft = allow, alert, review; hard = enforced in effective_permissions with break-glass override</t>
  </si>
  <si>
    <t xml:space="preserve">Ignore rosters</t>
  </si>
  <si>
    <t xml:space="preserve">The 2 a.m. emergency call-out is when the system must still work</t>
  </si>
  <si>
    <t xml:space="preserve">G7 = shared terminal with PIN</t>
  </si>
  <si>
    <t xml:space="preserve">Device session table + PIN authenticator type with its own failure counter</t>
  </si>
  <si>
    <t xml:space="preserve">Shared password</t>
  </si>
  <si>
    <t xml:space="preserve">Accountability dies at a shared screen</t>
  </si>
  <si>
    <t xml:space="preserve">G8 = offline permissions</t>
  </si>
  <si>
    <t xml:space="preserve">Permissions version + max staleness on cached decision sets; online re-check for dangerous actions</t>
  </si>
  <si>
    <t xml:space="preserve">Unbounded cache</t>
  </si>
  <si>
    <t xml:space="preserve">A revocation that never reaches the device</t>
  </si>
  <si>
    <t xml:space="preserve">ZANZIBAR</t>
  </si>
  <si>
    <t xml:space="preserve">G9 = contractor expiry / sponsor</t>
  </si>
  <si>
    <t xml:space="preserve">Mandatory end date on contractor grants; sponsor_id + scheduled re-attestation</t>
  </si>
  <si>
    <t xml:space="preserve">Open-ended grants</t>
  </si>
  <si>
    <t xml:space="preserve">Nobody knows who the account belongs to any more</t>
  </si>
  <si>
    <t xml:space="preserve">Question text</t>
  </si>
  <si>
    <t xml:space="preserve">Answer code</t>
  </si>
  <si>
    <t xml:space="preserve">Answer label</t>
  </si>
  <si>
    <t xml:space="preserve">Clarification</t>
  </si>
  <si>
    <t xml:space="preserve">fintech</t>
  </si>
  <si>
    <t xml:space="preserve">Financial services — banking, payments, lending, wallets</t>
  </si>
  <si>
    <t xml:space="preserve">You hold, move or lend other people’s money.</t>
  </si>
  <si>
    <t xml:space="preserve">health</t>
  </si>
  <si>
    <t xml:space="preserve">Healthcare or clinical</t>
  </si>
  <si>
    <t xml:space="preserve">Patient records, care delivery, diagnostics, telehealth.</t>
  </si>
  <si>
    <t xml:space="preserve">B2B SaaS sold to organisations</t>
  </si>
  <si>
    <t xml:space="preserve">Your customers are companies whose employees are your users.</t>
  </si>
  <si>
    <t xml:space="preserve">commerce</t>
  </si>
  <si>
    <t xml:space="preserve">Commerce, marketplace or retail</t>
  </si>
  <si>
    <t xml:space="preserve">Catalogue, orders, payments, fulfilment, possibly physical stores.</t>
  </si>
  <si>
    <t xml:space="preserve">logistics</t>
  </si>
  <si>
    <t xml:space="preserve">Logistics, field service or fleet</t>
  </si>
  <si>
    <t xml:space="preserve">Drivers, technicians, warehouses, routes, devices in the field.</t>
  </si>
  <si>
    <t xml:space="preserve">edu</t>
  </si>
  <si>
    <t xml:space="preserve">Education</t>
  </si>
  <si>
    <t xml:space="preserve">Schools, universities, training providers, LMS.</t>
  </si>
  <si>
    <t xml:space="preserve">gov</t>
  </si>
  <si>
    <t xml:space="preserve">Government or public sector</t>
  </si>
  <si>
    <t xml:space="preserve">Citizen services, licensing, records, statutory duties.</t>
  </si>
  <si>
    <t xml:space="preserve">internal</t>
  </si>
  <si>
    <t xml:space="preserve">Internal enterprise tool</t>
  </si>
  <si>
    <t xml:space="preserve">Used only by your own staff; no external customers.</t>
  </si>
  <si>
    <t xml:space="preserve">social</t>
  </si>
  <si>
    <t xml:space="preserve">Consumer social, content or community</t>
  </si>
  <si>
    <t xml:space="preserve">User-generated content, feeds, messaging, moderation.</t>
  </si>
  <si>
    <t xml:space="preserve">devtool</t>
  </si>
  <si>
    <t xml:space="preserve">Developer or infrastructure tooling</t>
  </si>
  <si>
    <t xml:space="preserve">APIs, CI, observability, data platforms.</t>
  </si>
  <si>
    <t xml:space="preserve">other</t>
  </si>
  <si>
    <t xml:space="preserve">Other - specify</t>
  </si>
  <si>
    <t xml:space="preserve">Free text; recorded verbatim in the brief and flagged for a human decision.</t>
  </si>
  <si>
    <t xml:space="preserve">public</t>
  </si>
  <si>
    <t xml:space="preserve">Members of the general public</t>
  </si>
  <si>
    <t xml:space="preserve">Self-registering consumers.</t>
  </si>
  <si>
    <t xml:space="preserve">custstaff</t>
  </si>
  <si>
    <t xml:space="preserve">Employees of your business customers</t>
  </si>
  <si>
    <t xml:space="preserve">Someone else’s staff — the classic B2B case.</t>
  </si>
  <si>
    <t xml:space="preserve">ownstaff</t>
  </si>
  <si>
    <t xml:space="preserve">Your own employees</t>
  </si>
  <si>
    <t xml:space="preserve">Internal staff using the same system.</t>
  </si>
  <si>
    <t xml:space="preserve">Contractors, temps or gig workers</t>
  </si>
  <si>
    <t xml:space="preserve">Time-boxed, often high-churn.</t>
  </si>
  <si>
    <t xml:space="preserve">partner</t>
  </si>
  <si>
    <t xml:space="preserve">Partners, resellers, franchisees or agents</t>
  </si>
  <si>
    <t xml:space="preserve">Third parties acting on customers’ behalf.</t>
  </si>
  <si>
    <t xml:space="preserve">minor</t>
  </si>
  <si>
    <t xml:space="preserve">People under 18</t>
  </si>
  <si>
    <t xml:space="preserve">Triggers parental consent and age-assurance rules.</t>
  </si>
  <si>
    <t xml:space="preserve">proxy</t>
  </si>
  <si>
    <t xml:space="preserve">People represented by someone else</t>
  </si>
  <si>
    <t xml:space="preserve">Patients with carers, clients with agents, wards with guardians.</t>
  </si>
  <si>
    <t xml:space="preserve">machine</t>
  </si>
  <si>
    <t xml:space="preserve">Machines, services or integrations</t>
  </si>
  <si>
    <t xml:space="preserve">API keys, service accounts, webhooks.</t>
  </si>
  <si>
    <t xml:space="preserve">Unauthenticated / anonymous visitors</t>
  </si>
  <si>
    <t xml:space="preserve">Guest checkout, public read, pre-signup activity.</t>
  </si>
  <si>
    <t xml:space="preserve">No — one organisation, one dataset</t>
  </si>
  <si>
    <t xml:space="preserve">Internal tools, single-company products.</t>
  </si>
  <si>
    <t xml:space="preserve">Yes — shared schema, tenant_id on every row</t>
  </si>
  <si>
    <t xml:space="preserve">Cheapest to run, hardest to get isolation right.</t>
  </si>
  <si>
    <t xml:space="preserve">schema</t>
  </si>
  <si>
    <t xml:space="preserve">Yes — one schema (or database) per tenant</t>
  </si>
  <si>
    <t xml:space="preserve">Strong isolation, painful past a few hundred tenants.</t>
  </si>
  <si>
    <t xml:space="preserve">hybrid</t>
  </si>
  <si>
    <t xml:space="preserve">Hybrid — shared by default, dedicated for large customers</t>
  </si>
  <si>
    <t xml:space="preserve">Common end-state; design for it from day one if you expect it.</t>
  </si>
  <si>
    <t xml:space="preserve">unsure</t>
  </si>
  <si>
    <t xml:space="preserve">Not sure yet</t>
  </si>
  <si>
    <t xml:space="preserve">Answer honestly — the recommendation changes.</t>
  </si>
  <si>
    <t xml:space="preserve">money</t>
  </si>
  <si>
    <t xml:space="preserve">Money moves and cannot be recovered</t>
  </si>
  <si>
    <t xml:space="preserve">Payments, transfers, payroll, settlement.</t>
  </si>
  <si>
    <t xml:space="preserve">safety</t>
  </si>
  <si>
    <t xml:space="preserve">Someone’s health, liberty or physical safety is at risk</t>
  </si>
  <si>
    <t xml:space="preserve">Clinical decisions, safeguarding, lone-worker, dispatch.</t>
  </si>
  <si>
    <t xml:space="preserve">legal</t>
  </si>
  <si>
    <t xml:space="preserve">Regulatory penalty, licence loss or court exposure</t>
  </si>
  <si>
    <t xml:space="preserve">Statutory records, licensed activity.</t>
  </si>
  <si>
    <t xml:space="preserve">Serious reputational or competitive damage</t>
  </si>
  <si>
    <t xml:space="preserve">Confidential business data, embargoed information.</t>
  </si>
  <si>
    <t xml:space="preserve">incon</t>
  </si>
  <si>
    <t xml:space="preserve">Inconvenience, recoverable within a day</t>
  </si>
  <si>
    <t xml:space="preserve">Preferences, drafts, non-critical content.</t>
  </si>
  <si>
    <t xml:space="preserve">funds</t>
  </si>
  <si>
    <t xml:space="preserve">Holds or moves customer funds</t>
  </si>
  <si>
    <t xml:space="preserve">E-money, custody, settlement, escrow.</t>
  </si>
  <si>
    <t xml:space="preserve">card</t>
  </si>
  <si>
    <t xml:space="preserve">Touches raw payment-card numbers (PAN)</t>
  </si>
  <si>
    <t xml:space="preserve">Only if the PAN enters your systems. Hosted fields / tokenisation means no.</t>
  </si>
  <si>
    <t xml:space="preserve">phi</t>
  </si>
  <si>
    <t xml:space="preserve">Stores health or medical information</t>
  </si>
  <si>
    <t xml:space="preserve">child</t>
  </si>
  <si>
    <t xml:space="preserve">Knowingly collects data from children</t>
  </si>
  <si>
    <t xml:space="preserve">bio</t>
  </si>
  <si>
    <t xml:space="preserve">Processes biometrics (face, fingerprint, voice)</t>
  </si>
  <si>
    <t xml:space="preserve">Special-category data in most regimes; some US states require separate consent.</t>
  </si>
  <si>
    <t xml:space="preserve">credit</t>
  </si>
  <si>
    <t xml:space="preserve">Makes automated credit, insurance or eligibility decisions</t>
  </si>
  <si>
    <t xml:space="preserve">Triggers automated-decision and explainability duties.</t>
  </si>
  <si>
    <t xml:space="preserve">Maintains official or public records</t>
  </si>
  <si>
    <t xml:space="preserve">Statutory retention schedules, disclosure regimes.</t>
  </si>
  <si>
    <t xml:space="preserve">crypto</t>
  </si>
  <si>
    <t xml:space="preserve">Deals in crypto-assets or virtual currency</t>
  </si>
  <si>
    <t xml:space="preserve">None of the above</t>
  </si>
  <si>
    <t xml:space="preserve">tiny</t>
  </si>
  <si>
    <t xml:space="preserve">Under 1 million</t>
  </si>
  <si>
    <t xml:space="preserve">1 – 50 million</t>
  </si>
  <si>
    <t xml:space="preserve">mid</t>
  </si>
  <si>
    <t xml:space="preserve">50 – 500 million</t>
  </si>
  <si>
    <t xml:space="preserve">large</t>
  </si>
  <si>
    <t xml:space="preserve">500 million – 5 billion</t>
  </si>
  <si>
    <t xml:space="preserve">huge</t>
  </si>
  <si>
    <t xml:space="preserve">Over 5 billion</t>
  </si>
  <si>
    <t xml:space="preserve">unk</t>
  </si>
  <si>
    <t xml:space="preserve">Genuinely unknown</t>
  </si>
  <si>
    <t xml:space="preserve">Fine. It will be treated as “small” with a re-check trigger.</t>
  </si>
  <si>
    <t xml:space="preserve">readheavy</t>
  </si>
  <si>
    <t xml:space="preserve">Overwhelmingly reads (95%+)</t>
  </si>
  <si>
    <t xml:space="preserve">Catalogues, content, dashboards.</t>
  </si>
  <si>
    <t xml:space="preserve">Mixed — roughly 70:30 to 50:50</t>
  </si>
  <si>
    <t xml:space="preserve">writeheavy</t>
  </si>
  <si>
    <t xml:space="preserve">Write-heavy — ingest dominates</t>
  </si>
  <si>
    <t xml:space="preserve">Telemetry, events, tracking, IoT.</t>
  </si>
  <si>
    <t xml:space="preserve">bursty</t>
  </si>
  <si>
    <t xml:space="preserve">Quiet, punctuated by extreme bursts</t>
  </si>
  <si>
    <t xml:space="preserve">Ticket sales, results days, paydays, flash sales.</t>
  </si>
  <si>
    <t xml:space="preserve">p1</t>
  </si>
  <si>
    <t xml:space="preserve">Under 100</t>
  </si>
  <si>
    <t xml:space="preserve">100 – 2,000</t>
  </si>
  <si>
    <t xml:space="preserve">p3</t>
  </si>
  <si>
    <t xml:space="preserve">2,000 – 20,000</t>
  </si>
  <si>
    <t xml:space="preserve">p4</t>
  </si>
  <si>
    <t xml:space="preserve">20,000 – 200,000</t>
  </si>
  <si>
    <t xml:space="preserve">p5</t>
  </si>
  <si>
    <t xml:space="preserve">Over 200,000</t>
  </si>
  <si>
    <t xml:space="preserve">dominant</t>
  </si>
  <si>
    <t xml:space="preserve">Yes — the main table is an append-only event or transaction log</t>
  </si>
  <si>
    <t xml:space="preserve">Partly — entities plus a large event/audit stream beside them</t>
  </si>
  <si>
    <t xml:space="preserve">No — mostly mutable entities</t>
  </si>
  <si>
    <t xml:space="preserve">Fixed and knowable — you can draw the columns today</t>
  </si>
  <si>
    <t xml:space="preserve">Mostly fixed, plus a handful of optional or customer-specific fields</t>
  </si>
  <si>
    <t xml:space="preserve">The overwhelmingly common case.</t>
  </si>
  <si>
    <t xml:space="preserve">percust</t>
  </si>
  <si>
    <t xml:space="preserve">Each customer defines their own fields at runtime</t>
  </si>
  <si>
    <t xml:space="preserve">Form builders, CRM-style custom objects, EAV pressure.</t>
  </si>
  <si>
    <t xml:space="preserve">poly</t>
  </si>
  <si>
    <t xml:space="preserve">Genuinely polymorphic documents with no stable core</t>
  </si>
  <si>
    <t xml:space="preserve">Content ingestion, scraped data, heterogeneous payloads.</t>
  </si>
  <si>
    <t xml:space="preserve">one</t>
  </si>
  <si>
    <t xml:space="preserve">One country</t>
  </si>
  <si>
    <t xml:space="preserve">One region (e.g. EU, West Africa, US)</t>
  </si>
  <si>
    <t xml:space="preserve">Several regions, but latency is not critical</t>
  </si>
  <si>
    <t xml:space="preserve">global</t>
  </si>
  <si>
    <t xml:space="preserve">Global, and cross-region latency is a product problem</t>
  </si>
  <si>
    <t xml:space="preserve">None, or exact lookup by id</t>
  </si>
  <si>
    <t xml:space="preserve">prefix</t>
  </si>
  <si>
    <t xml:space="preserve">Prefix / substring filtering on a few fields</t>
  </si>
  <si>
    <t xml:space="preserve">Ranked full-text search over documents or listings</t>
  </si>
  <si>
    <t xml:space="preserve">rich</t>
  </si>
  <si>
    <t xml:space="preserve">Typo tolerance, faceting, synonyms or relevance tuning</t>
  </si>
  <si>
    <t xml:space="preserve">vector</t>
  </si>
  <si>
    <t xml:space="preserve">Semantic / vector similarity search</t>
  </si>
  <si>
    <t xml:space="preserve">Embeddings, RAG, recommendations.</t>
  </si>
  <si>
    <t xml:space="preserve">None beyond a few counts</t>
  </si>
  <si>
    <t xml:space="preserve">Operational dashboards over recent data</t>
  </si>
  <si>
    <t xml:space="preserve">Under ~10M rows scanned per query.</t>
  </si>
  <si>
    <t xml:space="preserve">heavy</t>
  </si>
  <si>
    <t xml:space="preserve">Heavy aggregation, cohorts, funnels across the full history</t>
  </si>
  <si>
    <t xml:space="preserve">wh</t>
  </si>
  <si>
    <t xml:space="preserve">A separate warehouse / lakehouse is already planned</t>
  </si>
  <si>
    <t xml:space="preserve">strict</t>
  </si>
  <si>
    <t xml:space="preserve">Strict — no double-spend, no lost update, ever</t>
  </si>
  <si>
    <t xml:space="preserve">Balances, inventory, seat booking, limits.</t>
  </si>
  <si>
    <t xml:space="preserve">Read-committed with explicit locking where it matters</t>
  </si>
  <si>
    <t xml:space="preserve">The normal transactional default.</t>
  </si>
  <si>
    <t xml:space="preserve">eventual</t>
  </si>
  <si>
    <t xml:space="preserve">Eventual consistency is acceptable</t>
  </si>
  <si>
    <t xml:space="preserve">Feeds, counters, search indexes, analytics.</t>
  </si>
  <si>
    <t xml:space="preserve">Not sure</t>
  </si>
  <si>
    <t xml:space="preserve">No — always online</t>
  </si>
  <si>
    <t xml:space="preserve">degraded</t>
  </si>
  <si>
    <t xml:space="preserve">Read-only or degraded mode when offline</t>
  </si>
  <si>
    <t xml:space="preserve">full</t>
  </si>
  <si>
    <t xml:space="preserve">Full offline writes with conflict resolution on reconnect</t>
  </si>
  <si>
    <t xml:space="preserve">Field apps, POS, clinical devices, maritime/rural.</t>
  </si>
  <si>
    <t xml:space="preserve">Email address</t>
  </si>
  <si>
    <t xml:space="preserve">phone</t>
  </si>
  <si>
    <t xml:space="preserve">Phone number (E.164)</t>
  </si>
  <si>
    <t xml:space="preserve">user</t>
  </si>
  <si>
    <t xml:space="preserve">A chosen username</t>
  </si>
  <si>
    <t xml:space="preserve">natid</t>
  </si>
  <si>
    <t xml:space="preserve">A national ID, licence or registration number</t>
  </si>
  <si>
    <t xml:space="preserve">Never make this the login handle — see the warning if you pick it.</t>
  </si>
  <si>
    <t xml:space="preserve">staffno</t>
  </si>
  <si>
    <t xml:space="preserve">An employee, student or member number</t>
  </si>
  <si>
    <t xml:space="preserve">ssoonly</t>
  </si>
  <si>
    <t xml:space="preserve">Nothing — they arrive via SSO or a social provider only</t>
  </si>
  <si>
    <t xml:space="preserve">ssoforced</t>
  </si>
  <si>
    <t xml:space="preserve">Corporate SSO only — no local password exists for staff</t>
  </si>
  <si>
    <t xml:space="preserve">Strongest, and the only model where offboarding is truly one action.</t>
  </si>
  <si>
    <t xml:space="preserve">Company email domain only, with MFA, but local accounts</t>
  </si>
  <si>
    <t xml:space="preserve">Domain allow-list enforced at invite and at login.</t>
  </si>
  <si>
    <t xml:space="preserve">invite</t>
  </si>
  <si>
    <t xml:space="preserve">Any email address, but admin-invited only</t>
  </si>
  <si>
    <t xml:space="preserve">Common for franchisees, partners, small merchants.</t>
  </si>
  <si>
    <t xml:space="preserve">same</t>
  </si>
  <si>
    <t xml:space="preserve">Same as end users</t>
  </si>
  <si>
    <t xml:space="preserve">Acceptable only if staff privileges are trivial.</t>
  </si>
  <si>
    <t xml:space="preserve">Depends on privilege level — high privilege forces SSO</t>
  </si>
  <si>
    <t xml:space="preserve">Explicitly hybrid.</t>
  </si>
  <si>
    <t xml:space="preserve">No</t>
  </si>
  <si>
    <t xml:space="preserve">oidc</t>
  </si>
  <si>
    <t xml:space="preserve">Yes — OIDC (Entra ID, Google Workspace, Okta)</t>
  </si>
  <si>
    <t xml:space="preserve">saml</t>
  </si>
  <si>
    <t xml:space="preserve">Yes — SAML 2.0</t>
  </si>
  <si>
    <t xml:space="preserve">Still mandatory for many large enterprises.</t>
  </si>
  <si>
    <t xml:space="preserve">Both, plus SCIM provisioning</t>
  </si>
  <si>
    <t xml:space="preserve">The realistic enterprise-tier requirement.</t>
  </si>
  <si>
    <t xml:space="preserve">later</t>
  </si>
  <si>
    <t xml:space="preserve">Not at launch, but certainly later</t>
  </si>
  <si>
    <t xml:space="preserve">ial0</t>
  </si>
  <si>
    <t xml:space="preserve">Not at all — pseudonymous accounts are fine</t>
  </si>
  <si>
    <t xml:space="preserve">Forums, content, anonymous reporting.</t>
  </si>
  <si>
    <t xml:space="preserve">Possession of an email or phone is enough</t>
  </si>
  <si>
    <t xml:space="preserve">Most consumer products.</t>
  </si>
  <si>
    <t xml:space="preserve">ial2</t>
  </si>
  <si>
    <t xml:space="preserve">Remote verification against a government document</t>
  </si>
  <si>
    <t xml:space="preserve">KYC, regulated onboarding, high-value accounts.</t>
  </si>
  <si>
    <t xml:space="preserve">ial3</t>
  </si>
  <si>
    <t xml:space="preserve">In-person or supervised remote proofing</t>
  </si>
  <si>
    <t xml:space="preserve">Rare: clinicians, officials, high-value custody.</t>
  </si>
  <si>
    <t xml:space="preserve">derived</t>
  </si>
  <si>
    <t xml:space="preserve">Inherited — the employer or partner already proofed them</t>
  </si>
  <si>
    <t xml:space="preserve">You trust the IdP assertion.</t>
  </si>
  <si>
    <t xml:space="preserve">Self-service registration, open to anyone</t>
  </si>
  <si>
    <t xml:space="preserve">Invitation only, issued by an admin</t>
  </si>
  <si>
    <t xml:space="preserve">Both — public signup for customers, invitation for staff</t>
  </si>
  <si>
    <t xml:space="preserve">prov</t>
  </si>
  <si>
    <t xml:space="preserve">Provisioned automatically from an upstream system</t>
  </si>
  <si>
    <t xml:space="preserve">HR system, SIS, SCIM, government register.</t>
  </si>
  <si>
    <t xml:space="preserve">approve</t>
  </si>
  <si>
    <t xml:space="preserve">Self-service application, then manual approval</t>
  </si>
  <si>
    <t xml:space="preserve">Marketplaces, provider networks, B2B accounts.</t>
  </si>
  <si>
    <t xml:space="preserve">No — one human, one account, enforced</t>
  </si>
  <si>
    <t xml:space="preserve">One account that can hold several roles at once</t>
  </si>
  <si>
    <t xml:space="preserve">Preferred: one principal, many role assignments.</t>
  </si>
  <si>
    <t xml:space="preserve">pertenant</t>
  </si>
  <si>
    <t xml:space="preserve">One account per tenant/organisation they belong to</t>
  </si>
  <si>
    <t xml:space="preserve">sep</t>
  </si>
  <si>
    <t xml:space="preserve">Deliberately separate accounts for separate capacities</t>
  </si>
  <si>
    <t xml:space="preserve">Personal vs. admin — a recognised privileged-access pattern.</t>
  </si>
  <si>
    <t xml:space="preserve">nolimit</t>
  </si>
  <si>
    <t xml:space="preserve">No constraint — duplicates are tolerated</t>
  </si>
  <si>
    <t xml:space="preserve">parent</t>
  </si>
  <si>
    <t xml:space="preserve">A parent or guardian for a child</t>
  </si>
  <si>
    <t xml:space="preserve">carer</t>
  </si>
  <si>
    <t xml:space="preserve">A carer, family member or next of kin</t>
  </si>
  <si>
    <t xml:space="preserve">poa</t>
  </si>
  <si>
    <t xml:space="preserve">A legally appointed representative (power of attorney, deputy)</t>
  </si>
  <si>
    <t xml:space="preserve">agent</t>
  </si>
  <si>
    <t xml:space="preserve">A professional agent — accountant, broker, lawyer, adviser</t>
  </si>
  <si>
    <t xml:space="preserve">staffimp</t>
  </si>
  <si>
    <t xml:space="preserve">Your support staff, acting as the user to help them</t>
  </si>
  <si>
    <t xml:space="preserve">delegate</t>
  </si>
  <si>
    <t xml:space="preserve">A colleague covering for someone who is away</t>
  </si>
  <si>
    <t xml:space="preserve">Name and contact only</t>
  </si>
  <si>
    <t xml:space="preserve">dob</t>
  </si>
  <si>
    <t xml:space="preserve">Date of birth</t>
  </si>
  <si>
    <t xml:space="preserve">gender</t>
  </si>
  <si>
    <t xml:space="preserve">Gender or sex</t>
  </si>
  <si>
    <t xml:space="preserve">addr</t>
  </si>
  <si>
    <t xml:space="preserve">Postal address</t>
  </si>
  <si>
    <t xml:space="preserve">nat</t>
  </si>
  <si>
    <t xml:space="preserve">Nationality or immigration status</t>
  </si>
  <si>
    <t xml:space="preserve">Special category in the EU/UK when it reveals race or ethnicity.</t>
  </si>
  <si>
    <t xml:space="preserve">govid</t>
  </si>
  <si>
    <t xml:space="preserve">Government ID number</t>
  </si>
  <si>
    <t xml:space="preserve">employ</t>
  </si>
  <si>
    <t xml:space="preserve">Employer or job details</t>
  </si>
  <si>
    <t xml:space="preserve">fin</t>
  </si>
  <si>
    <t xml:space="preserve">Income, financial or credit data</t>
  </si>
  <si>
    <t xml:space="preserve">Health data</t>
  </si>
  <si>
    <t xml:space="preserve">Biometric templates</t>
  </si>
  <si>
    <t xml:space="preserve">loc</t>
  </si>
  <si>
    <t xml:space="preserve">Precise location history</t>
  </si>
  <si>
    <t xml:space="preserve">ethnic</t>
  </si>
  <si>
    <t xml:space="preserve">Race, ethnicity, religion, politics, union membership or sexual orientation</t>
  </si>
  <si>
    <t xml:space="preserve">Special category — needs an Article 9 condition, not just consent.</t>
  </si>
  <si>
    <t xml:space="preserve">Self-declared age is sufficient</t>
  </si>
  <si>
    <t xml:space="preserve">band</t>
  </si>
  <si>
    <t xml:space="preserve">Verified age band only (over/under a threshold)</t>
  </si>
  <si>
    <t xml:space="preserve">Privacy-preserving: store the band, not the birth date.</t>
  </si>
  <si>
    <t xml:space="preserve">exact</t>
  </si>
  <si>
    <t xml:space="preserve">Verified exact date of birth</t>
  </si>
  <si>
    <t xml:space="preserve">Only if a rule genuinely depends on the exact date.</t>
  </si>
  <si>
    <t xml:space="preserve">aal1</t>
  </si>
  <si>
    <t xml:space="preserve">AAL1 — a single factor is proportionate</t>
  </si>
  <si>
    <t xml:space="preserve">Low-value content, read-only accounts.</t>
  </si>
  <si>
    <t xml:space="preserve">AAL2 — multi-factor required</t>
  </si>
  <si>
    <t xml:space="preserve">Anything holding money, personal data or business records.</t>
  </si>
  <si>
    <t xml:space="preserve">AAL2 with phishing resistance required</t>
  </si>
  <si>
    <t xml:space="preserve">Passkeys or security keys only; no OTP fallback.</t>
  </si>
  <si>
    <t xml:space="preserve">aal3</t>
  </si>
  <si>
    <t xml:space="preserve">AAL3 — hardware-bound authenticator required</t>
  </si>
  <si>
    <t xml:space="preserve">Rare for end users. Synced passkeys cannot reach AAL3.</t>
  </si>
  <si>
    <t xml:space="preserve">AAL2 — multi-factor</t>
  </si>
  <si>
    <t xml:space="preserve">AAL2, phishing-resistant only</t>
  </si>
  <si>
    <t xml:space="preserve">The current baseline recommendation for any administrative access.</t>
  </si>
  <si>
    <t xml:space="preserve">AAL3 — hardware-bound, for the highest privileges</t>
  </si>
  <si>
    <t xml:space="preserve">Device-bound passkeys, PIV/CAC or FIDO2 security keys.</t>
  </si>
  <si>
    <t xml:space="preserve">pw</t>
  </si>
  <si>
    <t xml:space="preserve">Password</t>
  </si>
  <si>
    <t xml:space="preserve">pksync</t>
  </si>
  <si>
    <t xml:space="preserve">Passkey, synced across the user’s devices</t>
  </si>
  <si>
    <t xml:space="preserve">iCloud Keychain, Google Password Manager, 1Password.</t>
  </si>
  <si>
    <t xml:space="preserve">pkbound</t>
  </si>
  <si>
    <t xml:space="preserve">Device-bound passkey or FIDO2 security key</t>
  </si>
  <si>
    <t xml:space="preserve">YubiKey, platform authenticator with no export.</t>
  </si>
  <si>
    <t xml:space="preserve">totp</t>
  </si>
  <si>
    <t xml:space="preserve">TOTP authenticator app</t>
  </si>
  <si>
    <t xml:space="preserve">push</t>
  </si>
  <si>
    <t xml:space="preserve">Push approval with number matching</t>
  </si>
  <si>
    <t xml:space="preserve">sms</t>
  </si>
  <si>
    <t xml:space="preserve">SMS or voice one-time code</t>
  </si>
  <si>
    <t xml:space="preserve">emailotp</t>
  </si>
  <si>
    <t xml:space="preserve">Email one-time code or magic link</t>
  </si>
  <si>
    <t xml:space="preserve">Google / Apple / Microsoft sign-in</t>
  </si>
  <si>
    <t xml:space="preserve">smartcard</t>
  </si>
  <si>
    <t xml:space="preserve">Smart card, PIV/CAC or client certificate</t>
  </si>
  <si>
    <t xml:space="preserve">backup</t>
  </si>
  <si>
    <t xml:space="preserve">One-time backup codes</t>
  </si>
  <si>
    <t xml:space="preserve">emaillink</t>
  </si>
  <si>
    <t xml:space="preserve">Emailed reset link</t>
  </si>
  <si>
    <t xml:space="preserve">SMS code to the registered number</t>
  </si>
  <si>
    <t xml:space="preserve">codes</t>
  </si>
  <si>
    <t xml:space="preserve">Pre-issued backup codes</t>
  </si>
  <si>
    <t xml:space="preserve">A second registered authenticator must be used</t>
  </si>
  <si>
    <t xml:space="preserve">Enrol two at registration; strongest and cheapest.</t>
  </si>
  <si>
    <t xml:space="preserve">helpdesk</t>
  </si>
  <si>
    <t xml:space="preserve">Support desk re-verifies identity</t>
  </si>
  <si>
    <t xml:space="preserve">Then re-proofing must be at least as strong as original proofing.</t>
  </si>
  <si>
    <t xml:space="preserve">admin</t>
  </si>
  <si>
    <t xml:space="preserve">An administrator resets it</t>
  </si>
  <si>
    <t xml:space="preserve">Needs its own approval and audit path — it is a privileged action.</t>
  </si>
  <si>
    <t xml:space="preserve">No recovery — the account is lost</t>
  </si>
  <si>
    <t xml:space="preserve">Legitimate for some custody and high-security designs.</t>
  </si>
  <si>
    <t xml:space="preserve">short</t>
  </si>
  <si>
    <t xml:space="preserve">Minutes to an hour of inactivity</t>
  </si>
  <si>
    <t xml:space="preserve">A working day</t>
  </si>
  <si>
    <t xml:space="preserve">weeks</t>
  </si>
  <si>
    <t xml:space="preserve">Weeks — “remember me” by default</t>
  </si>
  <si>
    <t xml:space="preserve">forever</t>
  </si>
  <si>
    <t xml:space="preserve">Indefinitely, until they sign out</t>
  </si>
  <si>
    <t xml:space="preserve">15m</t>
  </si>
  <si>
    <t xml:space="preserve">15 minutes idle, 12 hours absolute</t>
  </si>
  <si>
    <t xml:space="preserve">AAL3-consistent.</t>
  </si>
  <si>
    <t xml:space="preserve">Up to 1 hour idle, 24 hours absolute</t>
  </si>
  <si>
    <t xml:space="preserve">AAL2-consistent.</t>
  </si>
  <si>
    <t xml:space="preserve">Same as ordinary users</t>
  </si>
  <si>
    <t xml:space="preserve">A finding in most audits.</t>
  </si>
  <si>
    <t xml:space="preserve">known</t>
  </si>
  <si>
    <t xml:space="preserve">Remember known devices to reduce MFA friction</t>
  </si>
  <si>
    <t xml:space="preserve">Users can list and revoke their own devices and sessions</t>
  </si>
  <si>
    <t xml:space="preserve">Only enrolled or corporate-managed devices may connect</t>
  </si>
  <si>
    <t xml:space="preserve">Device posture becomes an authorization input.</t>
  </si>
  <si>
    <t xml:space="preserve">None</t>
  </si>
  <si>
    <t xml:space="preserve">Moving money or changing payout details</t>
  </si>
  <si>
    <t xml:space="preserve">pii</t>
  </si>
  <si>
    <t xml:space="preserve">Viewing or exporting bulk personal data</t>
  </si>
  <si>
    <t xml:space="preserve">perm</t>
  </si>
  <si>
    <t xml:space="preserve">Granting or changing permissions</t>
  </si>
  <si>
    <t xml:space="preserve">contact</t>
  </si>
  <si>
    <t xml:space="preserve">Changing email, phone or password</t>
  </si>
  <si>
    <t xml:space="preserve">delete</t>
  </si>
  <si>
    <t xml:space="preserve">Deleting an account or destroying data</t>
  </si>
  <si>
    <t xml:space="preserve">imperson</t>
  </si>
  <si>
    <t xml:space="preserve">Impersonating another user</t>
  </si>
  <si>
    <t xml:space="preserve">config</t>
  </si>
  <si>
    <t xml:space="preserve">Changing security or tenant-wide configuration</t>
  </si>
  <si>
    <t xml:space="preserve">low</t>
  </si>
  <si>
    <t xml:space="preserve">Low — closed audience, invite-only</t>
  </si>
  <si>
    <t xml:space="preserve">Normal public-internet background noise</t>
  </si>
  <si>
    <t xml:space="preserve">high</t>
  </si>
  <si>
    <t xml:space="preserve">High — credential stuffing, bulk fake accounts, promo abuse</t>
  </si>
  <si>
    <t xml:space="preserve">Consumer fintech, marketplaces, anything with free credit.</t>
  </si>
  <si>
    <t xml:space="preserve">chgemail</t>
  </si>
  <si>
    <t xml:space="preserve">Change email address</t>
  </si>
  <si>
    <t xml:space="preserve">With verification of the new address before it becomes the login handle.</t>
  </si>
  <si>
    <t xml:space="preserve">chgphone</t>
  </si>
  <si>
    <t xml:space="preserve">Change phone number</t>
  </si>
  <si>
    <t xml:space="preserve">chgpw</t>
  </si>
  <si>
    <t xml:space="preserve">Change password</t>
  </si>
  <si>
    <t xml:space="preserve">mfa</t>
  </si>
  <si>
    <t xml:space="preserve">Enrol, list and remove authenticators</t>
  </si>
  <si>
    <t xml:space="preserve">sessions</t>
  </si>
  <si>
    <t xml:space="preserve">See active sessions and sign out elsewhere</t>
  </si>
  <si>
    <t xml:space="preserve">export</t>
  </si>
  <si>
    <t xml:space="preserve">Download a copy of their data</t>
  </si>
  <si>
    <t xml:space="preserve">Delete or close the account</t>
  </si>
  <si>
    <t xml:space="preserve">consent</t>
  </si>
  <si>
    <t xml:space="preserve">A consent / preference centre with withdrawal</t>
  </si>
  <si>
    <t xml:space="preserve">notif</t>
  </si>
  <si>
    <t xml:space="preserve">Notification channel preferences</t>
  </si>
  <si>
    <t xml:space="preserve">activity</t>
  </si>
  <si>
    <t xml:space="preserve">View their own access and activity history</t>
  </si>
  <si>
    <t xml:space="preserve">tokens</t>
  </si>
  <si>
    <t xml:space="preserve">Create and revoke API tokens</t>
  </si>
  <si>
    <t xml:space="preserve">lang</t>
  </si>
  <si>
    <t xml:space="preserve">Language, locale, timezone and accessibility settings</t>
  </si>
  <si>
    <t xml:space="preserve">Email</t>
  </si>
  <si>
    <t xml:space="preserve">SMS</t>
  </si>
  <si>
    <t xml:space="preserve">Mobile push</t>
  </si>
  <si>
    <t xml:space="preserve">inapp</t>
  </si>
  <si>
    <t xml:space="preserve">In-app inbox</t>
  </si>
  <si>
    <t xml:space="preserve">whatsapp</t>
  </si>
  <si>
    <t xml:space="preserve">WhatsApp or similar messaging channel</t>
  </si>
  <si>
    <t xml:space="preserve">post</t>
  </si>
  <si>
    <t xml:space="preserve">Physical post</t>
  </si>
  <si>
    <t xml:space="preserve">webhook</t>
  </si>
  <si>
    <t xml:space="preserve">Webhooks to customer systems</t>
  </si>
  <si>
    <t xml:space="preserve">No — accounts are private</t>
  </si>
  <si>
    <t xml:space="preserve">Visible within their own organisation only</t>
  </si>
  <si>
    <t xml:space="preserve">opt</t>
  </si>
  <si>
    <t xml:space="preserve">Optional public profile</t>
  </si>
  <si>
    <t xml:space="preserve">Public by default</t>
  </si>
  <si>
    <t xml:space="preserve">Then a display name must be separable from the legal name.</t>
  </si>
  <si>
    <t xml:space="preserve">No payments at all</t>
  </si>
  <si>
    <t xml:space="preserve">Tokens only — the processor holds the card</t>
  </si>
  <si>
    <t xml:space="preserve">Keeps you out of most of PCI DSS scope.</t>
  </si>
  <si>
    <t xml:space="preserve">bank</t>
  </si>
  <si>
    <t xml:space="preserve">Bank account or payout details</t>
  </si>
  <si>
    <t xml:space="preserve">pan</t>
  </si>
  <si>
    <t xml:space="preserve">Card numbers in our own systems</t>
  </si>
  <si>
    <t xml:space="preserve">Full PCI DSS scope. Expect this to dominate the design.</t>
  </si>
  <si>
    <t xml:space="preserve">No — every account is independent</t>
  </si>
  <si>
    <t xml:space="preserve">Yes — a flat group or team</t>
  </si>
  <si>
    <t xml:space="preserve">Yes — nested groups, folders or spaces</t>
  </si>
  <si>
    <t xml:space="preserve">Yes, and a user can be in many groups with different rights in each</t>
  </si>
  <si>
    <t xml:space="preserve">plan</t>
  </si>
  <si>
    <t xml:space="preserve">Simple plan tiers</t>
  </si>
  <si>
    <t xml:space="preserve">Per-seat licensing that must be counted and enforced</t>
  </si>
  <si>
    <t xml:space="preserve">meter</t>
  </si>
  <si>
    <t xml:space="preserve">Metered usage that drives billing</t>
  </si>
  <si>
    <t xml:space="preserve">The metering table is usually your largest table — plan for it in section B.</t>
  </si>
  <si>
    <t xml:space="preserve">flags</t>
  </si>
  <si>
    <t xml:space="preserve">Per-customer feature flags and limits</t>
  </si>
  <si>
    <t xml:space="preserve">react</t>
  </si>
  <si>
    <t xml:space="preserve">Yes — reported content is reviewed after publication</t>
  </si>
  <si>
    <t xml:space="preserve">pre</t>
  </si>
  <si>
    <t xml:space="preserve">Yes — content is reviewed before publication</t>
  </si>
  <si>
    <t xml:space="preserve">Both, with automated classification in front</t>
  </si>
  <si>
    <t xml:space="preserve">None — a flat list of people</t>
  </si>
  <si>
    <t xml:space="preserve">dept</t>
  </si>
  <si>
    <t xml:space="preserve">Departments or functions</t>
  </si>
  <si>
    <t xml:space="preserve">branch</t>
  </si>
  <si>
    <t xml:space="preserve">Branches, stores, sites or clinics</t>
  </si>
  <si>
    <t xml:space="preserve">Regions or territories</t>
  </si>
  <si>
    <t xml:space="preserve">Legal entities or subsidiaries</t>
  </si>
  <si>
    <t xml:space="preserve">cost</t>
  </si>
  <si>
    <t xml:space="preserve">Cost centres or budget units</t>
  </si>
  <si>
    <t xml:space="preserve">team</t>
  </si>
  <si>
    <t xml:space="preserve">Project teams or squads</t>
  </si>
  <si>
    <t xml:space="preserve">franch</t>
  </si>
  <si>
    <t xml:space="preserve">Franchises, partners or independent operators</t>
  </si>
  <si>
    <t xml:space="preserve">ward</t>
  </si>
  <si>
    <t xml:space="preserve">Wards, units or service lines</t>
  </si>
  <si>
    <t xml:space="preserve">Flat — one level</t>
  </si>
  <si>
    <t xml:space="preserve">Fixed depth, e.g. region → branch → team</t>
  </si>
  <si>
    <t xml:space="preserve">arb</t>
  </si>
  <si>
    <t xml:space="preserve">Arbitrary depth, and it changes</t>
  </si>
  <si>
    <t xml:space="preserve">Several overlapping hierarchies at once</t>
  </si>
  <si>
    <t xml:space="preserve">e.g. legal ownership vs. operational reporting vs. geography. They must be separate trees.</t>
  </si>
  <si>
    <t xml:space="preserve">current</t>
  </si>
  <si>
    <t xml:space="preserve">No — current state only</t>
  </si>
  <si>
    <t xml:space="preserve">Yes — historical reconstruction is required</t>
  </si>
  <si>
    <t xml:space="preserve">future</t>
  </si>
  <si>
    <t xml:space="preserve">Yes, and changes must also be scheduled in advance</t>
  </si>
  <si>
    <t xml:space="preserve">Effective-dated transfers, term starts, planned reorganisations.</t>
  </si>
  <si>
    <t xml:space="preserve">No — exactly one</t>
  </si>
  <si>
    <t xml:space="preserve">primary</t>
  </si>
  <si>
    <t xml:space="preserve">One primary, plus secondary attachments</t>
  </si>
  <si>
    <t xml:space="preserve">Needs a constraint that enforces exactly one primary at any instant.</t>
  </si>
  <si>
    <t xml:space="preserve">Freely many, with no primary</t>
  </si>
  <si>
    <t xml:space="preserve">cover</t>
  </si>
  <si>
    <t xml:space="preserve">Yes, including temporary cover with an end date</t>
  </si>
  <si>
    <t xml:space="preserve">Yes — several legal entities, one country</t>
  </si>
  <si>
    <t xml:space="preserve">intl</t>
  </si>
  <si>
    <t xml:space="preserve">Yes — several countries</t>
  </si>
  <si>
    <t xml:space="preserve">Then unit nodes carry a jurisdiction, and jurisdiction becomes an authorization input.</t>
  </si>
  <si>
    <t xml:space="preserve">No — a tenant is a flat bag of users</t>
  </si>
  <si>
    <t xml:space="preserve">Teams or workspaces inside a tenant</t>
  </si>
  <si>
    <t xml:space="preserve">deep</t>
  </si>
  <si>
    <t xml:space="preserve">A full hierarchy inside each tenant, defined by them</t>
  </si>
  <si>
    <t xml:space="preserve">group</t>
  </si>
  <si>
    <t xml:space="preserve">Customers themselves form groups — parent companies with subsidiaries</t>
  </si>
  <si>
    <t xml:space="preserve">Tenants of tenants: decide now, it is very expensive later.</t>
  </si>
  <si>
    <t xml:space="preserve">r1</t>
  </si>
  <si>
    <t xml:space="preserve">1 – 3</t>
  </si>
  <si>
    <t xml:space="preserve">4 – 10</t>
  </si>
  <si>
    <t xml:space="preserve">r3</t>
  </si>
  <si>
    <t xml:space="preserve">11 – 30</t>
  </si>
  <si>
    <t xml:space="preserve">r4</t>
  </si>
  <si>
    <t xml:space="preserve">More than 30</t>
  </si>
  <si>
    <t xml:space="preserve">r5</t>
  </si>
  <si>
    <t xml:space="preserve">Unknown — each customer will define their own</t>
  </si>
  <si>
    <t xml:space="preserve">Then roles are data, not code, from day one.</t>
  </si>
  <si>
    <t xml:space="preserve">An administrator assigns it by hand</t>
  </si>
  <si>
    <t xml:space="preserve">It is derived from HR attributes — job code, department, grade</t>
  </si>
  <si>
    <t xml:space="preserve">The maintainable model at scale, but it needs an authoritative source.</t>
  </si>
  <si>
    <t xml:space="preserve">request</t>
  </si>
  <si>
    <t xml:space="preserve">The person requests it and someone approves</t>
  </si>
  <si>
    <t xml:space="preserve">idp</t>
  </si>
  <si>
    <t xml:space="preserve">It arrives from the identity provider or HR system</t>
  </si>
  <si>
    <t xml:space="preserve">SCIM groups or OIDC claims; then your app must not be the source of truth.</t>
  </si>
  <si>
    <t xml:space="preserve">A derived baseline plus manual exceptions</t>
  </si>
  <si>
    <t xml:space="preserve">The realistic answer in most organisations.</t>
  </si>
  <si>
    <t xml:space="preserve">No — a permission applies everywhere</t>
  </si>
  <si>
    <t xml:space="preserve">Yes — to their own unit only</t>
  </si>
  <si>
    <t xml:space="preserve">inherit</t>
  </si>
  <si>
    <t xml:space="preserve">Yes — to their unit and everything beneath it</t>
  </si>
  <si>
    <t xml:space="preserve">A regional manager sees all branches in the region.</t>
  </si>
  <si>
    <t xml:space="preserve">explicit</t>
  </si>
  <si>
    <t xml:space="preserve">Yes — to an explicit list of units, not necessarily a subtree</t>
  </si>
  <si>
    <t xml:space="preserve">object</t>
  </si>
  <si>
    <t xml:space="preserve">Down to individual records shared with them</t>
  </si>
  <si>
    <t xml:space="preserve">jit</t>
  </si>
  <si>
    <t xml:space="preserve">Yes — request, approve, time-boxed, auto-expiring</t>
  </si>
  <si>
    <t xml:space="preserve">“Eligible” is not the same as “assigned”: model both.</t>
  </si>
  <si>
    <t xml:space="preserve">Yes — for holiday or absence cover</t>
  </si>
  <si>
    <t xml:space="preserve">emerg</t>
  </si>
  <si>
    <t xml:space="preserve">Yes — emergency break-glass access</t>
  </si>
  <si>
    <t xml:space="preserve">Must be a role someone assumes, never a boolean on a user row.</t>
  </si>
  <si>
    <t xml:space="preserve">maker</t>
  </si>
  <si>
    <t xml:space="preserve">Whoever initiates a payment must not approve it</t>
  </si>
  <si>
    <t xml:space="preserve">iam</t>
  </si>
  <si>
    <t xml:space="preserve">Whoever grants access must not be the person who reviews the logs</t>
  </si>
  <si>
    <t xml:space="preserve">refund</t>
  </si>
  <si>
    <t xml:space="preserve">Refunds and dispute handling are different people</t>
  </si>
  <si>
    <t xml:space="preserve">publish</t>
  </si>
  <si>
    <t xml:space="preserve">Whoever writes content must not approve its publication</t>
  </si>
  <si>
    <t xml:space="preserve">vendor</t>
  </si>
  <si>
    <t xml:space="preserve">Whoever creates a supplier must not pay one</t>
  </si>
  <si>
    <t xml:space="preserve">stock</t>
  </si>
  <si>
    <t xml:space="preserve">Whoever adjusts stock must not count it</t>
  </si>
  <si>
    <t xml:space="preserve">clinical</t>
  </si>
  <si>
    <t xml:space="preserve">Whoever orders a treatment must not verify it</t>
  </si>
  <si>
    <t xml:space="preserve">grade</t>
  </si>
  <si>
    <t xml:space="preserve">Whoever teaches must not moderate their own grades</t>
  </si>
  <si>
    <t xml:space="preserve">No — access is continuous</t>
  </si>
  <si>
    <t xml:space="preserve">soft</t>
  </si>
  <si>
    <t xml:space="preserve">Out-of-hours access is logged and reviewed, not blocked</t>
  </si>
  <si>
    <t xml:space="preserve">hard</t>
  </si>
  <si>
    <t xml:space="preserve">Access is denied outside the rostered window</t>
  </si>
  <si>
    <t xml:space="preserve">No — one person, one device</t>
  </si>
  <si>
    <t xml:space="preserve">pin</t>
  </si>
  <si>
    <t xml:space="preserve">Yes — a fast PIN or badge switches the acting user</t>
  </si>
  <si>
    <t xml:space="preserve">Device is authenticated once; the human is authenticated per action.</t>
  </si>
  <si>
    <t xml:space="preserve">Yes — full sign-out and sign-in between users</t>
  </si>
  <si>
    <t xml:space="preserve">cached</t>
  </si>
  <si>
    <t xml:space="preserve">Yes — permissions must be cached and work offline</t>
  </si>
  <si>
    <t xml:space="preserve">Then cached decisions need a version stamp and a bounded staleness.</t>
  </si>
  <si>
    <t xml:space="preserve">queue</t>
  </si>
  <si>
    <t xml:space="preserve">Yes — they also capture work offline and sync later</t>
  </si>
  <si>
    <t xml:space="preserve">Yes — a mandatory end date, enforced at grant time</t>
  </si>
  <si>
    <t xml:space="preserve">sponsor</t>
  </si>
  <si>
    <t xml:space="preserve">Yes — plus a named internal sponsor who must re-attest periodically</t>
  </si>
  <si>
    <t xml:space="preserve">No — a fixed set of roles defined by us</t>
  </si>
  <si>
    <t xml:space="preserve">Simplest. Viable only while G1 stays small and customers stay similar.</t>
  </si>
  <si>
    <t xml:space="preserve">catalog</t>
  </si>
  <si>
    <t xml:space="preserve">Yes — assembled freely from a catalogue of permissions</t>
  </si>
  <si>
    <t xml:space="preserve">Maximum flexibility, maximum support burden.</t>
  </si>
  <si>
    <t xml:space="preserve">Yes — but only as “a shipped role, plus or minus specific permissions”</t>
  </si>
  <si>
    <t xml:space="preserve">The pattern used by most mature B2B products: bounded, explainable, upgradeable.</t>
  </si>
  <si>
    <t xml:space="preserve">Yes, and each customer’s custom roles are private to them</t>
  </si>
  <si>
    <t xml:space="preserve">Roles need a tenant_id that is NULL for system roles.</t>
  </si>
  <si>
    <t xml:space="preserve">Then build the registry now and the UI later.</t>
  </si>
  <si>
    <t xml:space="preserve">any</t>
  </si>
  <si>
    <t xml:space="preserve">Any administrator can grant any role</t>
  </si>
  <si>
    <t xml:space="preserve">An admin can only grant permissions they hold themselves</t>
  </si>
  <si>
    <t xml:space="preserve">No privilege escalation by construction.</t>
  </si>
  <si>
    <t xml:space="preserve">Each role declares which roles it may grant</t>
  </si>
  <si>
    <t xml:space="preserve">Explicit grantable sets; the clearest to audit.</t>
  </si>
  <si>
    <t xml:space="preserve">Granting privileged roles needs a second approver</t>
  </si>
  <si>
    <t xml:space="preserve">scoped</t>
  </si>
  <si>
    <t xml:space="preserve">An admin can only grant within their own part of the organisation</t>
  </si>
  <si>
    <t xml:space="preserve">person</t>
  </si>
  <si>
    <t xml:space="preserve">A named super-admin account that always has everything</t>
  </si>
  <si>
    <t xml:space="preserve">A break-glass role that must be deliberately assumed, time-boxed and alarmed</t>
  </si>
  <si>
    <t xml:space="preserve">The recommended pattern: no standing total power.</t>
  </si>
  <si>
    <t xml:space="preserve">dual</t>
  </si>
  <si>
    <t xml:space="preserve">Two people must act together for the highest operations</t>
  </si>
  <si>
    <t xml:space="preserve">No single account can do everything, by design</t>
  </si>
  <si>
    <t xml:space="preserve">Read-only “view as” — no actions can be taken</t>
  </si>
  <si>
    <t xml:space="preserve">Full impersonation, but only with the user’s explicit consent</t>
  </si>
  <si>
    <t xml:space="preserve">logged</t>
  </si>
  <si>
    <t xml:space="preserve">Full impersonation with mandatory reason, notification and dual logging</t>
  </si>
  <si>
    <t xml:space="preserve">unrestricted</t>
  </si>
  <si>
    <t xml:space="preserve">Full impersonation, no ceremony</t>
  </si>
  <si>
    <t xml:space="preserve">Expect this to become an audit finding.</t>
  </si>
  <si>
    <t xml:space="preserve">Granting a privileged role</t>
  </si>
  <si>
    <t xml:space="preserve">Payments, refunds or payout changes above a threshold</t>
  </si>
  <si>
    <t xml:space="preserve">Bulk export of personal data</t>
  </si>
  <si>
    <t xml:space="preserve">Deleting accounts or purging data</t>
  </si>
  <si>
    <t xml:space="preserve">Changing security configuration</t>
  </si>
  <si>
    <t xml:space="preserve">price</t>
  </si>
  <si>
    <t xml:space="preserve">Changing prices, limits or credit</t>
  </si>
  <si>
    <t xml:space="preserve">Invoking break-glass access</t>
  </si>
  <si>
    <t xml:space="preserve">informal</t>
  </si>
  <si>
    <t xml:space="preserve">Informally, when someone remembers</t>
  </si>
  <si>
    <t xml:space="preserve">Yes — a scheduled campaign with recorded attestations</t>
  </si>
  <si>
    <t xml:space="preserve">evented</t>
  </si>
  <si>
    <t xml:space="preserve">Yes — plus triggered reviews on transfer or role change</t>
  </si>
  <si>
    <t xml:space="preserve">users</t>
  </si>
  <si>
    <t xml:space="preserve">User and account lists with lifecycle state</t>
  </si>
  <si>
    <t xml:space="preserve">access</t>
  </si>
  <si>
    <t xml:space="preserve">Who currently holds which permission, and why</t>
  </si>
  <si>
    <t xml:space="preserve">Activity and audit search</t>
  </si>
  <si>
    <t xml:space="preserve">usage</t>
  </si>
  <si>
    <t xml:space="preserve">Product usage and adoption metrics</t>
  </si>
  <si>
    <t xml:space="preserve">finance</t>
  </si>
  <si>
    <t xml:space="preserve">Revenue, billing and settlement figures</t>
  </si>
  <si>
    <t xml:space="preserve">ops</t>
  </si>
  <si>
    <t xml:space="preserve">Operational health — queues, failures, latency</t>
  </si>
  <si>
    <t xml:space="preserve">risk</t>
  </si>
  <si>
    <t xml:space="preserve">Fraud, abuse or risk signals</t>
  </si>
  <si>
    <t xml:space="preserve">compliance</t>
  </si>
  <si>
    <t xml:space="preserve">Compliance status — consents, requests, retention, reviews</t>
  </si>
  <si>
    <t xml:space="preserve">No — we do all administration</t>
  </si>
  <si>
    <t xml:space="preserve">Yes — each customer has their own administrators</t>
  </si>
  <si>
    <t xml:space="preserve">partial</t>
  </si>
  <si>
    <t xml:space="preserve">Customers manage users; we retain platform-level controls</t>
  </si>
  <si>
    <t xml:space="preserve">A partner or reseller administers on the customer’s behalf</t>
  </si>
  <si>
    <t xml:space="preserve">Three-party authorization: partner → customer → user.</t>
  </si>
  <si>
    <t xml:space="preserve">role</t>
  </si>
  <si>
    <t xml:space="preserve">The person’s role alone</t>
  </si>
  <si>
    <t xml:space="preserve">unit</t>
  </si>
  <si>
    <t xml:space="preserve">Their role plus the organisational unit of the record</t>
  </si>
  <si>
    <t xml:space="preserve">rel</t>
  </si>
  <si>
    <t xml:space="preserve">Their relationship to the specific record</t>
  </si>
  <si>
    <t xml:space="preserve">Owner, member, invited, assigned, shared-with.</t>
  </si>
  <si>
    <t xml:space="preserve">attr</t>
  </si>
  <si>
    <t xml:space="preserve">Attributes of the request — amount, time, location, channel, device</t>
  </si>
  <si>
    <t xml:space="preserve">state</t>
  </si>
  <si>
    <t xml:space="preserve">The state of the record — draft vs. published, open vs. closed</t>
  </si>
  <si>
    <t xml:space="preserve">Whether the data subject consented to this access</t>
  </si>
  <si>
    <t xml:space="preserve">clear</t>
  </si>
  <si>
    <t xml:space="preserve">A clearance or sensitivity label</t>
  </si>
  <si>
    <t xml:space="preserve">assign</t>
  </si>
  <si>
    <t xml:space="preserve">Whether the record is currently assigned to them</t>
  </si>
  <si>
    <t xml:space="preserve">Care teams, case work, tickets.</t>
  </si>
  <si>
    <t xml:space="preserve">No — only “may this person do this?”</t>
  </si>
  <si>
    <t xml:space="preserve">Yes — list what a person can see, for their home screen</t>
  </si>
  <si>
    <t xml:space="preserve">Yes — both directions, on demand</t>
  </si>
  <si>
    <t xml:space="preserve">audit</t>
  </si>
  <si>
    <t xml:space="preserve">Yes, and as at a past date, for auditors</t>
  </si>
  <si>
    <t xml:space="preserve">They do not</t>
  </si>
  <si>
    <t xml:space="preserve">named</t>
  </si>
  <si>
    <t xml:space="preserve">With specific named people</t>
  </si>
  <si>
    <t xml:space="preserve">link</t>
  </si>
  <si>
    <t xml:space="preserve">By link, possibly to people without accounts</t>
  </si>
  <si>
    <t xml:space="preserve">orgwide</t>
  </si>
  <si>
    <t xml:space="preserve">With everyone in their organisation</t>
  </si>
  <si>
    <t xml:space="preserve">Through nested folders or spaces that inherit access</t>
  </si>
  <si>
    <t xml:space="preserve">Relationship-based access control territory.</t>
  </si>
  <si>
    <t xml:space="preserve">No — everything is additive</t>
  </si>
  <si>
    <t xml:space="preserve">block</t>
  </si>
  <si>
    <t xml:space="preserve">Yes — block a specific person from a specific record</t>
  </si>
  <si>
    <t xml:space="preserve">Yes — legal or ethical walls between groups</t>
  </si>
  <si>
    <t xml:space="preserve">Conflict-of-interest separation, patient/staff overlap, deal teams.</t>
  </si>
  <si>
    <t xml:space="preserve">temp</t>
  </si>
  <si>
    <t xml:space="preserve">Yes — temporary suspension without removing the role</t>
  </si>
  <si>
    <t xml:space="preserve">sub1</t>
  </si>
  <si>
    <t xml:space="preserve">Under 1 ms — it is inside a tight loop or a row filter</t>
  </si>
  <si>
    <t xml:space="preserve">ms10</t>
  </si>
  <si>
    <t xml:space="preserve">Under 10 ms</t>
  </si>
  <si>
    <t xml:space="preserve">Under 50 ms — a normal request</t>
  </si>
  <si>
    <t xml:space="preserve">lax</t>
  </si>
  <si>
    <t xml:space="preserve">100 ms or more is fine</t>
  </si>
  <si>
    <t xml:space="preserve">db</t>
  </si>
  <si>
    <t xml:space="preserve">In the database, as a row filter</t>
  </si>
  <si>
    <t xml:space="preserve">app</t>
  </si>
  <si>
    <t xml:space="preserve">In application code</t>
  </si>
  <si>
    <t xml:space="preserve">svc</t>
  </si>
  <si>
    <t xml:space="preserve">In a dedicated policy service</t>
  </si>
  <si>
    <t xml:space="preserve">In the application, with the database as a backstop</t>
  </si>
  <si>
    <t xml:space="preserve">Defence in depth: the usual right answer when the data is sensitive.</t>
  </si>
  <si>
    <t xml:space="preserve">gdpr</t>
  </si>
  <si>
    <t xml:space="preserve">EU GDPR and/or UK GDPR</t>
  </si>
  <si>
    <t xml:space="preserve">ndpa</t>
  </si>
  <si>
    <t xml:space="preserve">Nigeria — NDPA 2023 and GAID 2025</t>
  </si>
  <si>
    <t xml:space="preserve">kenya</t>
  </si>
  <si>
    <t xml:space="preserve">Kenya — Data Protection Act 2019</t>
  </si>
  <si>
    <t xml:space="preserve">popia</t>
  </si>
  <si>
    <t xml:space="preserve">South Africa — POPIA</t>
  </si>
  <si>
    <t xml:space="preserve">afother</t>
  </si>
  <si>
    <t xml:space="preserve">Another African regime (Ghana, Rwanda, Egypt, Cameroon, …)</t>
  </si>
  <si>
    <t xml:space="preserve">us</t>
  </si>
  <si>
    <t xml:space="preserve">US state privacy law (CCPA/CPRA and successors)</t>
  </si>
  <si>
    <t xml:space="preserve">hipaa</t>
  </si>
  <si>
    <t xml:space="preserve">pci</t>
  </si>
  <si>
    <t xml:space="preserve">PCI DSS v4.0.1</t>
  </si>
  <si>
    <t xml:space="preserve">soc2</t>
  </si>
  <si>
    <t xml:space="preserve">SOC 2 — customers will ask for the report</t>
  </si>
  <si>
    <t xml:space="preserve">iso</t>
  </si>
  <si>
    <t xml:space="preserve">ISO/IEC 27001</t>
  </si>
  <si>
    <t xml:space="preserve">sector</t>
  </si>
  <si>
    <t xml:space="preserve">A sector regulator (central bank, health authority, education ministry)</t>
  </si>
  <si>
    <t xml:space="preserve">None that I know of</t>
  </si>
  <si>
    <t xml:space="preserve">No — we rely on contract or legitimate interests throughout</t>
  </si>
  <si>
    <t xml:space="preserve">simple</t>
  </si>
  <si>
    <t xml:space="preserve">Yes — one overall consent</t>
  </si>
  <si>
    <t xml:space="preserve">Yes — separately per purpose, with independent withdrawal</t>
  </si>
  <si>
    <t xml:space="preserve">versioned</t>
  </si>
  <si>
    <t xml:space="preserve">Yes — per purpose, and tied to the exact wording shown at the time</t>
  </si>
  <si>
    <t xml:space="preserve">Yes — deactivate and hide</t>
  </si>
  <si>
    <t xml:space="preserve">Yes — irreversibly anonymise, keeping records we must retain</t>
  </si>
  <si>
    <t xml:space="preserve">Usually the only lawful answer when financial or clinical records exist.</t>
  </si>
  <si>
    <t xml:space="preserve">Yes — actually destroy the rows</t>
  </si>
  <si>
    <t xml:space="preserve">Yes — by destroying the per-subject encryption key</t>
  </si>
  <si>
    <t xml:space="preserve">Only because customers ask for it in contracts</t>
  </si>
  <si>
    <t xml:space="preserve">law</t>
  </si>
  <si>
    <t xml:space="preserve">Yes — the law requires local storage</t>
  </si>
  <si>
    <t xml:space="preserve">transfer</t>
  </si>
  <si>
    <t xml:space="preserve">Not storage, but cross-border transfers need a lawful mechanism</t>
  </si>
  <si>
    <t xml:space="preserve">As short as possible — delete when no longer needed</t>
  </si>
  <si>
    <t xml:space="preserve">About 1 year</t>
  </si>
  <si>
    <t xml:space="preserve">5 – 7 years</t>
  </si>
  <si>
    <t xml:space="preserve">Typical accounting, tax and HIPAA-style clocks.</t>
  </si>
  <si>
    <t xml:space="preserve">y10</t>
  </si>
  <si>
    <t xml:space="preserve">10+ years</t>
  </si>
  <si>
    <t xml:space="preserve">Financial services, clinical records, pensions.</t>
  </si>
  <si>
    <t xml:space="preserve">Permanently — statutory or archival records</t>
  </si>
  <si>
    <t xml:space="preserve">Different classes have very different clocks</t>
  </si>
  <si>
    <t xml:space="preserve">We block under-age users entirely</t>
  </si>
  <si>
    <t xml:space="preserve">Verifiable parental consent before processing</t>
  </si>
  <si>
    <t xml:space="preserve">school</t>
  </si>
  <si>
    <t xml:space="preserve">The school or institution provides the lawful basis</t>
  </si>
  <si>
    <t xml:space="preserve">reduced</t>
  </si>
  <si>
    <t xml:space="preserve">Reduced processing and no profiling for under-age accounts</t>
  </si>
  <si>
    <t xml:space="preserve">Yes — documented, with an owner and a rehearsed process</t>
  </si>
  <si>
    <t xml:space="preserve">Roughly, but it is not rehearsed</t>
  </si>
  <si>
    <t xml:space="preserve">A few — hosting, email, analytics</t>
  </si>
  <si>
    <t xml:space="preserve">Many, including sub-processors of sub-processors</t>
  </si>
  <si>
    <t xml:space="preserve">share</t>
  </si>
  <si>
    <t xml:space="preserve">We also share data with independent controllers</t>
  </si>
  <si>
    <t xml:space="preserve">A materially different legal relationship — and a different table.</t>
  </si>
  <si>
    <t xml:space="preserve">authn</t>
  </si>
  <si>
    <t xml:space="preserve">Every sign-in, failure and MFA challenge</t>
  </si>
  <si>
    <t xml:space="preserve">Every read of a sensitive record</t>
  </si>
  <si>
    <t xml:space="preserve">The expensive one. Required by HIPAA-style regimes.</t>
  </si>
  <si>
    <t xml:space="preserve">change</t>
  </si>
  <si>
    <t xml:space="preserve">Every change to a record, with before and after values</t>
  </si>
  <si>
    <t xml:space="preserve">Every permission grant, revocation and role change</t>
  </si>
  <si>
    <t xml:space="preserve">Every administrative and configuration action</t>
  </si>
  <si>
    <t xml:space="preserve">Every financial movement, immutably</t>
  </si>
  <si>
    <t xml:space="preserve">Every export or bulk download</t>
  </si>
  <si>
    <t xml:space="preserve">Every impersonated action, attributed to both identities</t>
  </si>
  <si>
    <t xml:space="preserve">Every consent given and withdrawn</t>
  </si>
  <si>
    <t xml:space="preserve">d90</t>
  </si>
  <si>
    <t xml:space="preserve">90 days</t>
  </si>
  <si>
    <t xml:space="preserve">12 months, with 3 months immediately available</t>
  </si>
  <si>
    <t xml:space="preserve">The PCI DSS requirement.</t>
  </si>
  <si>
    <t xml:space="preserve">6 years</t>
  </si>
  <si>
    <t xml:space="preserve">The HIPAA requirement.</t>
  </si>
  <si>
    <t xml:space="preserve">y7</t>
  </si>
  <si>
    <t xml:space="preserve">7 – 10 years</t>
  </si>
  <si>
    <t xml:space="preserve">Indefinitely</t>
  </si>
  <si>
    <t xml:space="preserve">No — honest-mistake protection is enough</t>
  </si>
  <si>
    <t xml:space="preserve">append</t>
  </si>
  <si>
    <t xml:space="preserve">Application-level append-only is enough</t>
  </si>
  <si>
    <t xml:space="preserve">Yes — records must be shipped to separately controlled storage</t>
  </si>
  <si>
    <t xml:space="preserve">Yes — plus cryptographic chaining or a WORM store</t>
  </si>
  <si>
    <t xml:space="preserve">rare</t>
  </si>
  <si>
    <t xml:space="preserve">Rarely — in an incident</t>
  </si>
  <si>
    <t xml:space="preserve">Routinely — auditors, regulators or customers ask</t>
  </si>
  <si>
    <t xml:space="preserve">Contractually, within a fixed response time</t>
  </si>
  <si>
    <t xml:space="preserve">solo</t>
  </si>
  <si>
    <t xml:space="preserve">One or two generalist developers, no DBA</t>
  </si>
  <si>
    <t xml:space="preserve">A small team with one person who is comfortable with SQL</t>
  </si>
  <si>
    <t xml:space="preserve">plat</t>
  </si>
  <si>
    <t xml:space="preserve">A platform or infrastructure team</t>
  </si>
  <si>
    <t xml:space="preserve">dba</t>
  </si>
  <si>
    <t xml:space="preserve">A dedicated database or SRE function</t>
  </si>
  <si>
    <t xml:space="preserve">Managed cloud database service</t>
  </si>
  <si>
    <t xml:space="preserve">vm</t>
  </si>
  <si>
    <t xml:space="preserve">Our own virtual machines</t>
  </si>
  <si>
    <t xml:space="preserve">k8s</t>
  </si>
  <si>
    <t xml:space="preserve">Kubernetes with an operator</t>
  </si>
  <si>
    <t xml:space="preserve">serverless</t>
  </si>
  <si>
    <t xml:space="preserve">Serverless / edge platform</t>
  </si>
  <si>
    <t xml:space="preserve">onprem</t>
  </si>
  <si>
    <t xml:space="preserve">On-premises or private cloud</t>
  </si>
  <si>
    <t xml:space="preserve">Sometimes non-negotiable in health, government and banking.</t>
  </si>
  <si>
    <t xml:space="preserve">Hybrid — some on-premises, some cloud</t>
  </si>
  <si>
    <t xml:space="preserve">AWS</t>
  </si>
  <si>
    <t xml:space="preserve">gcp</t>
  </si>
  <si>
    <t xml:space="preserve">Google Cloud</t>
  </si>
  <si>
    <t xml:space="preserve">azure</t>
  </si>
  <si>
    <t xml:space="preserve">Azure</t>
  </si>
  <si>
    <t xml:space="preserve">Another provider (Hetzner, DigitalOcean, OVH, local provider)</t>
  </si>
  <si>
    <t xml:space="preserve">Our own hardware</t>
  </si>
  <si>
    <t xml:space="preserve">undecided</t>
  </si>
  <si>
    <t xml:space="preserve">Undecided</t>
  </si>
  <si>
    <t xml:space="preserve">a1</t>
  </si>
  <si>
    <t xml:space="preserve">Best effort — hours of downtime are survivable</t>
  </si>
  <si>
    <t xml:space="preserve">99.9% — under an hour a month</t>
  </si>
  <si>
    <t xml:space="preserve">a3</t>
  </si>
  <si>
    <t xml:space="preserve">99.95% or better, with automated failover</t>
  </si>
  <si>
    <t xml:space="preserve">a4</t>
  </si>
  <si>
    <t xml:space="preserve">Continuous — a failed write is a business incident</t>
  </si>
  <si>
    <t xml:space="preserve">A day of data; back within a day</t>
  </si>
  <si>
    <t xml:space="preserve">An hour of data; back within hours</t>
  </si>
  <si>
    <t xml:space="preserve">Minutes of data; back within an hour</t>
  </si>
  <si>
    <t xml:space="preserve">Zero data loss</t>
  </si>
  <si>
    <t xml:space="preserve">Requires synchronous replication and the latency cost that comes with it.</t>
  </si>
  <si>
    <t xml:space="preserve">TypeScript / Node</t>
  </si>
  <si>
    <t xml:space="preserve">py</t>
  </si>
  <si>
    <t xml:space="preserve">Python</t>
  </si>
  <si>
    <t xml:space="preserve">go</t>
  </si>
  <si>
    <t xml:space="preserve">Go</t>
  </si>
  <si>
    <t xml:space="preserve">rust</t>
  </si>
  <si>
    <t xml:space="preserve">Rust</t>
  </si>
  <si>
    <t xml:space="preserve">jvm</t>
  </si>
  <si>
    <t xml:space="preserve">Java or Kotlin</t>
  </si>
  <si>
    <t xml:space="preserve">dotnet</t>
  </si>
  <si>
    <t xml:space="preserve">C# / .NET</t>
  </si>
  <si>
    <t xml:space="preserve">ruby</t>
  </si>
  <si>
    <t xml:space="preserve">Ruby</t>
  </si>
  <si>
    <t xml:space="preserve">php</t>
  </si>
  <si>
    <t xml:space="preserve">PHP</t>
  </si>
  <si>
    <t xml:space="preserve">elixir</t>
  </si>
  <si>
    <t xml:space="preserve">Elixir</t>
  </si>
  <si>
    <t xml:space="preserve">Several, deliberately</t>
  </si>
  <si>
    <t xml:space="preserve">A full ORM — we want objects, not rows</t>
  </si>
  <si>
    <t xml:space="preserve">A query builder or lightweight mapper</t>
  </si>
  <si>
    <t xml:space="preserve">sql</t>
  </si>
  <si>
    <t xml:space="preserve">Hand-written SQL with generated types</t>
  </si>
  <si>
    <t xml:space="preserve">An ORM for CRUD, raw SQL for the hard paths</t>
  </si>
  <si>
    <t xml:space="preserve">What most successful teams converge on.</t>
  </si>
  <si>
    <t xml:space="preserve">open</t>
  </si>
  <si>
    <t xml:space="preserve">No strong view — recommend one</t>
  </si>
  <si>
    <t xml:space="preserve">auto</t>
  </si>
  <si>
    <t xml:space="preserve">The framework syncs the schema automatically</t>
  </si>
  <si>
    <t xml:space="preserve">Fine in development. Not a production migration strategy.</t>
  </si>
  <si>
    <t xml:space="preserve">Generated migrations, reviewed in pull requests</t>
  </si>
  <si>
    <t xml:space="preserve">hand</t>
  </si>
  <si>
    <t xml:space="preserve">Hand-written, reviewed, with an explicit rollback path</t>
  </si>
  <si>
    <t xml:space="preserve">expand</t>
  </si>
  <si>
    <t xml:space="preserve">Expand/contract with zero-downtime discipline</t>
  </si>
  <si>
    <t xml:space="preserve">No process yet</t>
  </si>
  <si>
    <t xml:space="preserve">tight</t>
  </si>
  <si>
    <t xml:space="preserve">Very — every pound counts</t>
  </si>
  <si>
    <t xml:space="preserve">Normal — value for money</t>
  </si>
  <si>
    <t xml:space="preserve">flex</t>
  </si>
  <si>
    <t xml:space="preserve">Flexible — correctness and speed outrank cost</t>
  </si>
  <si>
    <t xml:space="preserve">Weeks</t>
  </si>
  <si>
    <t xml:space="preserve">A quarter</t>
  </si>
  <si>
    <t xml:space="preserve">half</t>
  </si>
  <si>
    <t xml:space="preserve">Six months or more</t>
  </si>
  <si>
    <t xml:space="preserve">live</t>
  </si>
  <si>
    <t xml:space="preserve">It is already live and we are correcting course</t>
  </si>
  <si>
    <t xml:space="preserve">build</t>
  </si>
  <si>
    <t xml:space="preserve">Build — we want full control and no per-user cost</t>
  </si>
  <si>
    <t xml:space="preserve">buy</t>
  </si>
  <si>
    <t xml:space="preserve">Buy — we want passkeys, SSO and recovery handled</t>
  </si>
  <si>
    <t xml:space="preserve">Build the core, buy enterprise SSO/SCIM as an add-on</t>
  </si>
  <si>
    <t xml:space="preserve">No view — recommend one</t>
  </si>
  <si>
    <t xml:space="preserve">balance</t>
  </si>
  <si>
    <t xml:space="preserve">A balance column updated in place</t>
  </si>
  <si>
    <t xml:space="preserve">Unauditable and unreconcilable. Expect the recommendation to argue against it.</t>
  </si>
  <si>
    <t xml:space="preserve">ledger</t>
  </si>
  <si>
    <t xml:space="preserve">An immutable double-entry ledger; balances are derived</t>
  </si>
  <si>
    <t xml:space="preserve">ledgerbal</t>
  </si>
  <si>
    <t xml:space="preserve">A double-entry ledger plus materialised balances for speed</t>
  </si>
  <si>
    <t xml:space="preserve">external</t>
  </si>
  <si>
    <t xml:space="preserve">A third-party ledger or core banking system holds the truth</t>
  </si>
  <si>
    <t xml:space="preserve">No — fixed global limits</t>
  </si>
  <si>
    <t xml:space="preserve">By role</t>
  </si>
  <si>
    <t xml:space="preserve">tier</t>
  </si>
  <si>
    <t xml:space="preserve">By customer KYC tier</t>
  </si>
  <si>
    <t xml:space="preserve">By both, plus per-account overrides</t>
  </si>
  <si>
    <t xml:space="preserve">Limits become an authorization attribute, not a config constant.</t>
  </si>
  <si>
    <t xml:space="preserve">One — verified or not</t>
  </si>
  <si>
    <t xml:space="preserve">2 – 3 tiers with different limits</t>
  </si>
  <si>
    <t xml:space="preserve">Several, varying by product and jurisdiction</t>
  </si>
  <si>
    <t xml:space="preserve">na</t>
  </si>
  <si>
    <t xml:space="preserve">Not applicable</t>
  </si>
  <si>
    <t xml:space="preserve">daily</t>
  </si>
  <si>
    <t xml:space="preserve">Yes — daily settlement files or bank statements</t>
  </si>
  <si>
    <t xml:space="preserve">rt</t>
  </si>
  <si>
    <t xml:space="preserve">Yes — near real time against a scheme or processor</t>
  </si>
  <si>
    <t xml:space="preserve">By professional role alone</t>
  </si>
  <si>
    <t xml:space="preserve">care</t>
  </si>
  <si>
    <t xml:space="preserve">By an active care relationship with the patient</t>
  </si>
  <si>
    <t xml:space="preserve">By the ward, clinic or service the patient is under</t>
  </si>
  <si>
    <t xml:space="preserve">combo</t>
  </si>
  <si>
    <t xml:space="preserve">Role, plus care relationship, plus location, plus period</t>
  </si>
  <si>
    <t xml:space="preserve">Yes — break-glass with a recorded reason and immediate alerting</t>
  </si>
  <si>
    <t xml:space="preserve">Access is granted, then justified, then reviewed. Never silently.</t>
  </si>
  <si>
    <t xml:space="preserve">Yes — with a second clinician’s authorisation</t>
  </si>
  <si>
    <t xml:space="preserve">Not modelled</t>
  </si>
  <si>
    <t xml:space="preserve">One share/do-not-share flag</t>
  </si>
  <si>
    <t xml:space="preserve">Per receiving organisation</t>
  </si>
  <si>
    <t xml:space="preserve">fine</t>
  </si>
  <si>
    <t xml:space="preserve">Per data category, per recipient, with a validity period</t>
  </si>
  <si>
    <t xml:space="preserve">fhir</t>
  </si>
  <si>
    <t xml:space="preserve">Yes — HL7 FHIR</t>
  </si>
  <si>
    <t xml:space="preserve">hl7v2</t>
  </si>
  <si>
    <t xml:space="preserve">Yes — HL7 v2 messaging</t>
  </si>
  <si>
    <t xml:space="preserve">files</t>
  </si>
  <si>
    <t xml:space="preserve">Yes — files or a national spine</t>
  </si>
  <si>
    <t xml:space="preserve">even</t>
  </si>
  <si>
    <t xml:space="preserve">Broadly similar sizes</t>
  </si>
  <si>
    <t xml:space="preserve">Up to about 10× the median</t>
  </si>
  <si>
    <t xml:space="preserve">x100</t>
  </si>
  <si>
    <t xml:space="preserve">100× or more</t>
  </si>
  <si>
    <t xml:space="preserve">Plan tenant-level partitioning or isolation from the start.</t>
  </si>
  <si>
    <t xml:space="preserve">Unknown</t>
  </si>
  <si>
    <t xml:space="preserve">Yes — a distinct guest class with reduced default visibility</t>
  </si>
  <si>
    <t xml:space="preserve">cross</t>
  </si>
  <si>
    <t xml:space="preserve">Yes — and one person may be a guest in many tenants at once</t>
  </si>
  <si>
    <t xml:space="preserve">Manually, by us, on request</t>
  </si>
  <si>
    <t xml:space="preserve">Self-service export and deletion</t>
  </si>
  <si>
    <t xml:space="preserve">Contractual — within a fixed window, with a certificate</t>
  </si>
  <si>
    <t xml:space="preserve">notyet</t>
  </si>
  <si>
    <t xml:space="preserve">Not thought about it</t>
  </si>
  <si>
    <t xml:space="preserve">It will be asked in the first enterprise security review.</t>
  </si>
  <si>
    <t xml:space="preserve">No physical inventory</t>
  </si>
  <si>
    <t xml:space="preserve">One location</t>
  </si>
  <si>
    <t xml:space="preserve">Multiple warehouses or stores</t>
  </si>
  <si>
    <t xml:space="preserve">Stock becomes a per-location ledger, not a column.</t>
  </si>
  <si>
    <t xml:space="preserve">thirdparty</t>
  </si>
  <si>
    <t xml:space="preserve">A third-party system is authoritative</t>
  </si>
  <si>
    <t xml:space="preserve">Online only</t>
  </si>
  <si>
    <t xml:space="preserve">pos</t>
  </si>
  <si>
    <t xml:space="preserve">Yes — staff use a till or handheld</t>
  </si>
  <si>
    <t xml:space="preserve">Yes, and stock and orders must be consistent across both</t>
  </si>
  <si>
    <t xml:space="preserve">No — we own all the stock</t>
  </si>
  <si>
    <t xml:space="preserve">Yes — sellers manage their own catalogue and staff</t>
  </si>
  <si>
    <t xml:space="preserve">Each seller is effectively a tenant with its own privilege ladder.</t>
  </si>
  <si>
    <t xml:space="preserve">Mixed — our stock plus third-party sellers</t>
  </si>
  <si>
    <t xml:space="preserve">No licence or certification involved</t>
  </si>
  <si>
    <t xml:space="preserve">track</t>
  </si>
  <si>
    <t xml:space="preserve">We record licence or certification numbers and expiry</t>
  </si>
  <si>
    <t xml:space="preserve">Expired credentials must block assignment automatically</t>
  </si>
  <si>
    <t xml:space="preserve">Occasional events — scans, status changes</t>
  </si>
  <si>
    <t xml:space="preserve">Continuous streams from vehicles or devices</t>
  </si>
  <si>
    <t xml:space="preserve">This is a separate storage problem from your entity data.</t>
  </si>
  <si>
    <t xml:space="preserve">term</t>
  </si>
  <si>
    <t xml:space="preserve">Yes — by term, semester or academic year</t>
  </si>
  <si>
    <t xml:space="preserve">course</t>
  </si>
  <si>
    <t xml:space="preserve">Yes — per course or cohort enrolment period</t>
  </si>
  <si>
    <t xml:space="preserve">view</t>
  </si>
  <si>
    <t xml:space="preserve">Yes — read-only</t>
  </si>
  <si>
    <t xml:space="preserve">act</t>
  </si>
  <si>
    <t xml:space="preserve">Yes — and they can act (consent, pay, communicate)</t>
  </si>
  <si>
    <t xml:space="preserve">age</t>
  </si>
  <si>
    <t xml:space="preserve">Yes, until the learner reaches an age threshold, then it lapses</t>
  </si>
  <si>
    <t xml:space="preserve">A dated relationship with an automatic end.</t>
  </si>
  <si>
    <t xml:space="preserve">sched</t>
  </si>
  <si>
    <t xml:space="preserve">Yes — a published retention and disposal schedule</t>
  </si>
  <si>
    <t xml:space="preserve">arch</t>
  </si>
  <si>
    <t xml:space="preserve">Yes — plus transfer to a national archive</t>
  </si>
  <si>
    <t xml:space="preserve">foi</t>
  </si>
  <si>
    <t xml:space="preserve">Yes — FOI requests must be servable</t>
  </si>
  <si>
    <t xml:space="preserve">Yes — some data is published openly</t>
  </si>
  <si>
    <t xml:space="preserve">Then a publication classification belongs on the record itself.</t>
  </si>
  <si>
    <t xml:space="preserve">Report-and-review only</t>
  </si>
  <si>
    <t xml:space="preserve">A dedicated moderation team with tiered powers</t>
  </si>
  <si>
    <t xml:space="preserve">comm</t>
  </si>
  <si>
    <t xml:space="preserve">Community moderators with scoped powers</t>
  </si>
  <si>
    <t xml:space="preserve">Scoped moderation is relationship-based authorization.</t>
  </si>
  <si>
    <t xml:space="preserve">Automated classification plus human appeal</t>
  </si>
  <si>
    <t xml:space="preserve">Permission key</t>
  </si>
  <si>
    <t xml:space="preserve">Action</t>
  </si>
  <si>
    <t xml:space="preserve">Resource</t>
  </si>
  <si>
    <t xml:space="preserve">Description</t>
  </si>
  <si>
    <t xml:space="preserve">Dangerous?</t>
  </si>
  <si>
    <t xml:space="preserve">Viewer</t>
  </si>
  <si>
    <t xml:space="preserve">Member</t>
  </si>
  <si>
    <t xml:space="preserve">Administrator</t>
  </si>
  <si>
    <t xml:space="preserve">Billing Manager</t>
  </si>
  <si>
    <t xml:space="preserve">Security Admin</t>
  </si>
  <si>
    <t xml:space="preserve">Access Admin</t>
  </si>
  <si>
    <t xml:space="preserve">Break Glass</t>
  </si>
  <si>
    <t xml:space="preserve">Granted to</t>
  </si>
  <si>
    <t xml:space="preserve">user.read</t>
  </si>
  <si>
    <t xml:space="preserve">read</t>
  </si>
  <si>
    <t xml:space="preserve">View user records</t>
  </si>
  <si>
    <t xml:space="preserve">X</t>
  </si>
  <si>
    <t xml:space="preserve">user.create</t>
  </si>
  <si>
    <t xml:space="preserve">create</t>
  </si>
  <si>
    <t xml:space="preserve">Create user accounts</t>
  </si>
  <si>
    <t xml:space="preserve">user.suspend</t>
  </si>
  <si>
    <t xml:space="preserve">suspend</t>
  </si>
  <si>
    <t xml:space="preserve">Suspend a user account</t>
  </si>
  <si>
    <t xml:space="preserve">YES</t>
  </si>
  <si>
    <t xml:space="preserve">user.impersonate</t>
  </si>
  <si>
    <t xml:space="preserve">impersonate</t>
  </si>
  <si>
    <t xml:space="preserve">Act on behalf of a user</t>
  </si>
  <si>
    <t xml:space="preserve">role.read</t>
  </si>
  <si>
    <t xml:space="preserve">View roles and assignments</t>
  </si>
  <si>
    <t xml:space="preserve">role.grant</t>
  </si>
  <si>
    <t xml:space="preserve">Assign a role to a principal</t>
  </si>
  <si>
    <t xml:space="preserve">role.define</t>
  </si>
  <si>
    <t xml:space="preserve">define</t>
  </si>
  <si>
    <t xml:space="preserve">Create or edit custom roles</t>
  </si>
  <si>
    <t xml:space="preserve">org.read</t>
  </si>
  <si>
    <t xml:space="preserve">org_node</t>
  </si>
  <si>
    <t xml:space="preserve">View the organisation tree</t>
  </si>
  <si>
    <t xml:space="preserve">org.manage</t>
  </si>
  <si>
    <t xml:space="preserve">manage</t>
  </si>
  <si>
    <t xml:space="preserve">Create, rename or close org nodes</t>
  </si>
  <si>
    <t xml:space="preserve">staff.read</t>
  </si>
  <si>
    <t xml:space="preserve">staff</t>
  </si>
  <si>
    <t xml:space="preserve">View staff records</t>
  </si>
  <si>
    <t xml:space="preserve">staff.assign</t>
  </si>
  <si>
    <t xml:space="preserve">Assign staff to branches or departments</t>
  </si>
  <si>
    <t xml:space="preserve">audit.read</t>
  </si>
  <si>
    <t xml:space="preserve">Read the security audit log</t>
  </si>
  <si>
    <t xml:space="preserve">consent.read</t>
  </si>
  <si>
    <t xml:space="preserve">View consent records</t>
  </si>
  <si>
    <t xml:space="preserve">privacy.fulfil_request</t>
  </si>
  <si>
    <t xml:space="preserve">fulfil</t>
  </si>
  <si>
    <t xml:space="preserve">subject_request</t>
  </si>
  <si>
    <t xml:space="preserve">Fulfil a data subject request</t>
  </si>
  <si>
    <t xml:space="preserve">approval.approve</t>
  </si>
  <si>
    <t xml:space="preserve">approval</t>
  </si>
  <si>
    <t xml:space="preserve">Approve a pending request</t>
  </si>
  <si>
    <t xml:space="preserve">billing.read</t>
  </si>
  <si>
    <t xml:space="preserve">billing</t>
  </si>
  <si>
    <t xml:space="preserve">View billing information</t>
  </si>
  <si>
    <t xml:space="preserve">billing.manage</t>
  </si>
  <si>
    <t xml:space="preserve">Change payment methods and plans</t>
  </si>
  <si>
    <t xml:space="preserve">security.manage</t>
  </si>
  <si>
    <t xml:space="preserve">security</t>
  </si>
  <si>
    <t xml:space="preserve">Manage security settings and policy</t>
  </si>
  <si>
    <t xml:space="preserve">The deliberate gaps are the point.</t>
  </si>
  <si>
    <t xml:space="preserve">Access Admin can grant roles but CANNOT read the audit log. Security Admin reads the audit log but CANNOT grant roles. That split is NIST SP 800-53 AC-5: personnel who administer access control functions do not also administer audit functions. Collapsing them into one "admin" role is the single most common privilege-design error.</t>
  </si>
  <si>
    <t xml:space="preserve">Billing is separated from operational administration. Every mature product examined for this matrix (GitHub, Slack, Notion, Stripe) separates who pays from who administers; products built without the pattern almost never do.</t>
  </si>
  <si>
    <t xml:space="preserve">Break Glass holds everything - and is therefore a role that must be assumed with a reason, a time limit and an alert, never a standing assignment and never a boolean column on a user row.</t>
  </si>
  <si>
    <t xml:space="preserve">Member holds no permissions in this table because a member's rights come from relationships to objects, not from the role. If your Member row fills up, you are modelling relationship-based access as roles.</t>
  </si>
  <si>
    <t xml:space="preserve">No permission here is granted by more than one role by accident. Check the "Granted to" count whenever you add a role: a permission held by five roles is usually a permission that should have been split.</t>
  </si>
  <si>
    <t xml:space="preserve">Regime</t>
  </si>
  <si>
    <t xml:space="preserve">Instrument</t>
  </si>
  <si>
    <t xml:space="preserve">Notify the authority within</t>
  </si>
  <si>
    <t xml:space="preserve">Notify the data subject within</t>
  </si>
  <si>
    <t xml:space="preserve">Erasure right</t>
  </si>
  <si>
    <t xml:space="preserve">Residency / transfer</t>
  </si>
  <si>
    <t xml:space="preserve">Retention</t>
  </si>
  <si>
    <t xml:space="preserve">Consent / lawful basis</t>
  </si>
  <si>
    <t xml:space="preserve">EU GDPR / UK GDPR</t>
  </si>
  <si>
    <t xml:space="preserve">Regulation (EU) 2016/679; UK GDPR + DPA 2018</t>
  </si>
  <si>
    <t xml:space="preserve">Without undue delay and, where feasible, no later than 72 hours after becoming aware (Art. 33)</t>
  </si>
  <si>
    <t xml:space="preserve">Without undue delay where risk to rights and freedoms is high (Art. 34)</t>
  </si>
  <si>
    <t xml:space="preserve">Yes - Art. 17, subject to Art. 17(3) exemptions (legal obligation, legal claims, public interest)</t>
  </si>
  <si>
    <t xml:space="preserve">No general localisation. Transfers outside the EEA/UK need an Art. 46 mechanism or an adequacy decision.</t>
  </si>
  <si>
    <t xml:space="preserve">Art. 5(1)(e) storage limitation: no fixed period; you set and justify it per purpose.</t>
  </si>
  <si>
    <t xml:space="preserve">Art. 7(1): the controller must be able to demonstrate consent. Art. 7(3): withdrawal as easy as giving.</t>
  </si>
  <si>
    <t xml:space="preserve">Nigeria</t>
  </si>
  <si>
    <t xml:space="preserve">NDPA 2023 + General Application and Implementation Directive 2025</t>
  </si>
  <si>
    <t xml:space="preserve">72 hours to the Commission</t>
  </si>
  <si>
    <t xml:space="preserve">Reported as immediately where the breach is likely to result in high risk (GAID Art. 33). UNVERIFIED - the Commission portal was unreachable during research; confirm article, date and wording with the NDPC before relying on it.</t>
  </si>
  <si>
    <t xml:space="preserve">Yes, with equivalent public-interest and legal-obligation exceptions</t>
  </si>
  <si>
    <t xml:space="preserve">No blanket localisation. Cross-border transfer requires an adequacy finding or an approved instrument.</t>
  </si>
  <si>
    <t xml:space="preserve">Purpose-limited; sector rules (financial, telecoms) impose their own periods.</t>
  </si>
  <si>
    <t xml:space="preserve">Consent must be freely given, specific, informed and demonstrable; separate consent for each purpose.</t>
  </si>
  <si>
    <t xml:space="preserve">Kenya</t>
  </si>
  <si>
    <t xml:space="preserve">Data Protection Act 2019</t>
  </si>
  <si>
    <t xml:space="preserve">Without delay, within 72 hours of becoming aware (s.43(1)(a))</t>
  </si>
  <si>
    <t xml:space="preserve">Without delay where there is a real risk of harm</t>
  </si>
  <si>
    <t xml:space="preserve">Yes - right to erasure and to object</t>
  </si>
  <si>
    <t xml:space="preserve">Section 50 lets the Cabinet Secretary prescribe processing through a server or data centre in Kenya on strategic-interest or revenue grounds. No general localisation mandate has been made under it, though sector-specific transfer restrictions exist (e.g. Civil Registration Regulations 2020).</t>
  </si>
  <si>
    <t xml:space="preserve">Retention only as long as necessary for the purpose.</t>
  </si>
  <si>
    <t xml:space="preserve">Consent must be express, unequivocal, free, specific and informed.</t>
  </si>
  <si>
    <t xml:space="preserve">South Africa</t>
  </si>
  <si>
    <t xml:space="preserve">POPIA (Act 4 of 2013)</t>
  </si>
  <si>
    <t xml:space="preserve">As soon as reasonably possible after discovery, to the Information Regulator</t>
  </si>
  <si>
    <t xml:space="preserve">As soon as reasonably possible after discovery, to the data subject</t>
  </si>
  <si>
    <t xml:space="preserve">Yes - deletion or destruction where the record is no longer authorised to be retained</t>
  </si>
  <si>
    <t xml:space="preserve">Section 72 restricts transfers absent adequate protection, consent or contract necessity.</t>
  </si>
  <si>
    <t xml:space="preserve">Retain only as long as necessary unless another law requires longer.</t>
  </si>
  <si>
    <t xml:space="preserve">Consent must be voluntary, specific and informed; the responsible party bears the burden of proof.</t>
  </si>
  <si>
    <t xml:space="preserve">United States - HIPAA</t>
  </si>
  <si>
    <t xml:space="preserve">45 CFR Parts 160 and 164</t>
  </si>
  <si>
    <t xml:space="preserve">HHS within 60 days if 500+ individuals affected; annually otherwise</t>
  </si>
  <si>
    <t xml:space="preserve">Individuals without unreasonable delay and no later than 60 days</t>
  </si>
  <si>
    <t xml:space="preserve">No general erasure right; amendment and accounting-of-disclosures rights instead</t>
  </si>
  <si>
    <t xml:space="preserve">No federal localisation requirement.</t>
  </si>
  <si>
    <t xml:space="preserve">Documentation retained 6 years (Sec. 164.316(b)(2)(i)); state medical-record laws often require longer.</t>
  </si>
  <si>
    <t xml:space="preserve">Authorization is the analogue of consent and is form-specified; treatment/payment/operations need none.</t>
  </si>
  <si>
    <t xml:space="preserve">United States - state privacy</t>
  </si>
  <si>
    <t xml:space="preserve">CCPA/CPRA and successor state statutes</t>
  </si>
  <si>
    <t xml:space="preserve">Not in CCPA itself; California Civ. Code Sec. 1798.82 requires notice in the most expedient time possible</t>
  </si>
  <si>
    <t xml:space="preserve">Same statute - most expedient time possible, without unreasonable delay</t>
  </si>
  <si>
    <t xml:space="preserve">Yes - right to delete, with enumerated exceptions</t>
  </si>
  <si>
    <t xml:space="preserve">No localisation requirement.</t>
  </si>
  <si>
    <t xml:space="preserve">Disclose retention periods, or the criteria used to set them, at collection.</t>
  </si>
  <si>
    <t xml:space="preserve">Opt-out model for sale/sharing, with opt-in for minors; consent is not the default basis.</t>
  </si>
  <si>
    <t xml:space="preserve">Payment Card Industry Data Security Standard</t>
  </si>
  <si>
    <t xml:space="preserve">Card-brand and acquirer rules, not a statute - typically immediate</t>
  </si>
  <si>
    <t xml:space="preserve">Not applicable; downstream notification follows the applicable privacy law</t>
  </si>
  <si>
    <t xml:space="preserve">Not applicable; sensitive authentication data must not be retained after authorisation at all</t>
  </si>
  <si>
    <t xml:space="preserve">No localisation requirement in the standard.</t>
  </si>
  <si>
    <t xml:space="preserve">Req. 10.5.1: 12 months of audit history, with at least the last 3 months immediately available for analysis.</t>
  </si>
  <si>
    <t xml:space="preserve">Req. 10.2.2 fixes the fields every audit record must contain - model them as columns, not free text.</t>
  </si>
  <si>
    <t xml:space="preserve">This table is a design aid for schema decisions, not legal advice. Clocks, thresholds and exemptions change; confirm each against the current instrument and take advice for your jurisdictions. The design consequence is the same in every row: a breach record needs a per-regime deadline column and a recorded rationale for each notification made or withheld, because you cannot run every regime to the slowest clock.</t>
  </si>
  <si>
    <t xml:space="preserve">Authenticator</t>
  </si>
  <si>
    <t xml:space="preserve">Factor(s)</t>
  </si>
  <si>
    <t xml:space="preserve">Assurance ceiling</t>
  </si>
  <si>
    <t xml:space="preserve">Phishing-resistant</t>
  </si>
  <si>
    <t xml:space="preserve">Verifier-impersonation-resistant</t>
  </si>
  <si>
    <t xml:space="preserve">Schema fields it needs</t>
  </si>
  <si>
    <t xml:space="preserve">Notes and evidence</t>
  </si>
  <si>
    <t xml:space="preserve">Password (memorised secret)</t>
  </si>
  <si>
    <t xml:space="preserve">Something you know</t>
  </si>
  <si>
    <t xml:space="preserve">AAL1 alone; contributes to AAL2/AAL3 with a second factor</t>
  </si>
  <si>
    <t xml:space="preserve">Argon2id or scrypt hash, algorithm and parameters, last-changed timestamp, breach-check timestamp</t>
  </si>
  <si>
    <t xml:space="preserve">15-character minimum where it is the only factor (8 when combined with another factor). No composition rules. No forced rotation except on evidence of compromise. Screen against known-breached lists (SHALL). Password managers and autofill SHALL be allowed; pasting SHOULD be permitted where autofill is unavailable. No hints, no knowledge-based questions.</t>
  </si>
  <si>
    <t xml:space="preserve">Passkey, synced</t>
  </si>
  <si>
    <t xml:space="preserve">Something you have + user verification</t>
  </si>
  <si>
    <t xml:space="preserve">AAL2 maximum</t>
  </si>
  <si>
    <t xml:space="preserve">Yes</t>
  </si>
  <si>
    <t xml:space="preserve">credential_id (up to 1023 bytes, store as bytea), COSE public key, sign_count, transports, AAGUID, uv_initialized, backup_eligible (immutable), backup_state (mutable)</t>
  </si>
  <si>
    <t xml:space="preserve">Cannot reach AAL3: syncable authenticators require the private key to be exportable, and the guidance states they SHALL NOT be used at AAL3. Providers are widely reported to return sign_count = 0 on every assertion (undocumented by the vendors) - a naive "reject unless new &gt; stored" check then rejects those users.</t>
  </si>
  <si>
    <t xml:space="preserve">Passkey, device-bound / FIDO2 security key</t>
  </si>
  <si>
    <t xml:space="preserve">Something you have + PIN or biometric</t>
  </si>
  <si>
    <t xml:space="preserve">AAL3 capable</t>
  </si>
  <si>
    <t xml:space="preserve">Same credential record as above, plus attestation statement and the AAGUID you are willing to trust</t>
  </si>
  <si>
    <t xml:space="preserve">The only widely deployed route to AAL3 for ordinary users - though device binding alone is not sufficient: AAL3 also requires FIPS 140 Level 1+ validation, hardware-isolated key storage and phishing resistance. In the 2022 Cloudflare incident, staff entered both password and TOTP into a phishing site and the attack still failed, because the key would not assert for the wrong origin.</t>
  </si>
  <si>
    <t xml:space="preserve">Something you have (single-factor OTP device)</t>
  </si>
  <si>
    <t xml:space="preserve">AAL2 with a password</t>
  </si>
  <si>
    <t xml:space="preserve">Encrypted shared secret, algorithm, digits, period, drift window, last-used step (to block replay)</t>
  </si>
  <si>
    <t xml:space="preserve">Phishable in real time: the user reads a code and can be induced to type it anywhere. Better than SMS because there is no carrier in the path.</t>
  </si>
  <si>
    <t xml:space="preserve">Something you have</t>
  </si>
  <si>
    <t xml:space="preserve">AAL2</t>
  </si>
  <si>
    <t xml:space="preserve">Device registration id, push token, per-challenge nonce, displayed number, response and timestamp</t>
  </si>
  <si>
    <t xml:space="preserve">Number matching is what stops MFA-fatigue bombing. Push without number matching is materially weaker and is ranked below it in the CISA hierarchy.</t>
  </si>
  <si>
    <t xml:space="preserve">Something you have (restricted authenticator)</t>
  </si>
  <si>
    <t xml:space="preserve">AAL2, but classified as restricted</t>
  </si>
  <si>
    <t xml:space="preserve">E.164 number, verification status, carrier-change or SIM-swap signal, per-code hash and expiry</t>
  </si>
  <si>
    <t xml:space="preserve">NIST treats the public telephone network as a restricted channel. Google telemetry: SMS codes blocked 100% of automated and about 96% of bulk phishing attacks, but materially less against targeted ones. Keep as last resort; never sufficient alone for a payment or a permission change.</t>
  </si>
  <si>
    <t xml:space="preserve">Not a possession factor</t>
  </si>
  <si>
    <t xml:space="preserve">Not permitted as an authentication factor</t>
  </si>
  <si>
    <t xml:space="preserve">Single-use token hash, purpose, expiry, consumed-at timestamp, requesting IP</t>
  </si>
  <si>
    <t xml:space="preserve">The guidance is explicit that email SHALL NOT be used for out-of-band authentication: an inbox is itself reachable with a password from anywhere. Legitimate for address verification and enrolment, not for signing in.</t>
  </si>
  <si>
    <t xml:space="preserve">Backup codes (look-up secrets)</t>
  </si>
  <si>
    <t xml:space="preserve">AAL2 as a second factor</t>
  </si>
  <si>
    <t xml:space="preserve">One hashed row per code, used_at, issued_at, remaining count</t>
  </si>
  <si>
    <t xml:space="preserve">Hash them like passwords, mark them individually used, and show the user how many remain. The cheapest recovery path that does not weaken the account.</t>
  </si>
  <si>
    <t xml:space="preserve">Smart card / PIV / CAC</t>
  </si>
  <si>
    <t xml:space="preserve">Something you have + PIN</t>
  </si>
  <si>
    <t xml:space="preserve">AAL3</t>
  </si>
  <si>
    <t xml:space="preserve">Certificate subject and serial, issuing CA, validity window, revocation-check timestamp</t>
  </si>
  <si>
    <t xml:space="preserve">The government baseline. Requires a certificate lifecycle you must actually operate, including revocation checking on every use.</t>
  </si>
  <si>
    <t xml:space="preserve">Social sign-in (Google, Apple, Microsoft)</t>
  </si>
  <si>
    <t xml:space="preserve">Depends entirely on the provider</t>
  </si>
  <si>
    <t xml:space="preserve">Inherited from the provider - you do not control it</t>
  </si>
  <si>
    <t xml:space="preserve">Inherited</t>
  </si>
  <si>
    <t xml:space="preserve">Issuer, subject, unique on (issuer, subject); never on email</t>
  </si>
  <si>
    <t xml:space="preserve">You inherit the provider assurance and cannot raise it. The (iss, sub) pair is the only stable key - email is mutable and can be reassigned, so joining on it eventually merges two different people.</t>
  </si>
  <si>
    <t xml:space="preserve">Reference: NIST SP 800-63B-4 (final, 31 July 2025); W3C WebAuthn Level 2 (Recommendation, with Level 3 still a Candidate Recommendation Snapshot dated 26 May 2026); FIDO CTAP 2.3 (Proposed Standard, February 2026); CISA "Implementing Phishing-Resistant MFA". Failure counting is scoped to the authenticator, not to the whole account - the guidance requires limiting consecutive failed attempts using a specific authenticator on a single subscriber account to no more than 100. Counting across the account instead hands an attacker a free lockout weapon.</t>
  </si>
  <si>
    <t xml:space="preserve">Key</t>
  </si>
  <si>
    <t xml:space="preserve">Source</t>
  </si>
  <si>
    <t xml:space="preserve">nist63b</t>
  </si>
  <si>
    <t xml:space="preserve">NIST SP 800-63B-4, Digital Identity Guidelines: Authentication and Authenticator Management, final 31 July 2025.</t>
  </si>
  <si>
    <t xml:space="preserve">nist63a</t>
  </si>
  <si>
    <t xml:space="preserve">NIST SP 800-63A-4, Identity Proofing and Enrollment, final 31 July 2025 — IAL is selected independently of AAL.</t>
  </si>
  <si>
    <t xml:space="preserve">nist63</t>
  </si>
  <si>
    <t xml:space="preserve">NIST SP 800-63-4 (base volume), final 31 July 2025 — xAL components are chosen separately, not as a bundle.</t>
  </si>
  <si>
    <t xml:space="preserve">nist162</t>
  </si>
  <si>
    <t xml:space="preserve">NIST SP 800-162, Guide to Attribute Based Access Control (ABAC) Definition and Considerations — names “role explosion”, and warns that answering who-can-access questions under ABAC “requires significant data retrieval and computation effort”.</t>
  </si>
  <si>
    <t xml:space="preserve">nist53</t>
  </si>
  <si>
    <t xml:space="preserve">NIST SP 800-53 Rev. 5 (Release 5.2.0, August 2025) — AC-5 separation of duties, whose discussion states that “security personnel who administer access control functions do not also administer audit functions”; AC-6 least privilege; AU-9(2) audit record backup onto a physically different system or component; AU-3 audit record content.</t>
  </si>
  <si>
    <t xml:space="preserve">rbac</t>
  </si>
  <si>
    <t xml:space="preserve">ANSI/INCITS 359-2012 (R2022), Role Based Access Control — Core, Hierarchical, Static SoD and Dynamic SoD components, with sessions as a first-class concept (dynamic separation is defined over roles activated in a session). The model is purely additive: it contains no construct for a negative permission.</t>
  </si>
  <si>
    <t xml:space="preserve">webauthn</t>
  </si>
  <si>
    <t xml:space="preserve">W3C Web Authentication Level 2 — W3C Recommendation, 8 April 2021. Level 3 is a Candidate Recommendation Snapshot dated 26 May 2026 and is not yet a Recommendation.</t>
  </si>
  <si>
    <t xml:space="preserve">ctap</t>
  </si>
  <si>
    <t xml:space="preserve">FIDO Alliance CTAP 2.3 — Proposed Standard, 26 February 2026. A CTAP 2.3.1 Working Draft dated 29 May 2026 also exists, so 2.3 is the latest Proposed Standard rather than the latest document.</t>
  </si>
  <si>
    <t xml:space="preserve">google19</t>
  </si>
  <si>
    <t xml:space="preserve">Google Security Blog / “Evaluating login challenges as a defense against account takeover” (2019) — device prompts blocked 100% of automated and 99% of bulk phishing attacks; SMS codes blocked 100% and 96%; knowledge-based challenges performed worst.</t>
  </si>
  <si>
    <t xml:space="preserve">cf22</t>
  </si>
  <si>
    <t xml:space="preserve">Cloudflare, “The mechanics of a sophisticated phishing scam and how we stopped it” (August 2022) — staff entered both credentials and TOTP codes into a phishing site; hardware security keys stopped the attack because the credential is bound to the origin.</t>
  </si>
  <si>
    <t xml:space="preserve">cisa</t>
  </si>
  <si>
    <t xml:space="preserve">CISA, Implementing Phishing-Resistant MFA — FIDO/WebAuthn and PKI first; app-based OTP and number-matched push next; SMS and voice described as a last resort.</t>
  </si>
  <si>
    <t xml:space="preserve">rfc9700</t>
  </si>
  <si>
    <t xml:space="preserve">RFC 9700 / BCP 240, Best Current Practice for OAuth 2.0 Security (January 2025). Note that “OAuth 2.1” is still an Internet-Draft and is not an RFC.</t>
  </si>
  <si>
    <t xml:space="preserve">OpenID Connect Core 1.0 incorporating errata set 2 (Final, December 2023) — the stable subject identifier is the (iss, sub) pair; email is explicitly not a stable identifier.</t>
  </si>
  <si>
    <t xml:space="preserve">scim</t>
  </si>
  <si>
    <t xml:space="preserve">RFC 7643 and RFC 7644 (SCIM 2.0); RFC 9967 defines the SCIM profile for Security Event Tokens (May 2026). In SCIM, deprovisioning is normally active:false, not DELETE.</t>
  </si>
  <si>
    <t xml:space="preserve">rfc8693</t>
  </si>
  <si>
    <t xml:space="preserve">RFC 8693, OAuth 2.0 Token Exchange §4.1 — the act claim expresses delegation with the acting party preserved: “For the purpose of applying access control policy, the consumer of a token MUST only consider the token’s top-level claims and the party identified as the current actor by the act claim.” Nested act claims from earlier delegation steps are disregarded for that purpose.</t>
  </si>
  <si>
    <t xml:space="preserve">pgrls</t>
  </si>
  <si>
    <t xml:space="preserve">PostgreSQL documentation, “Row Security Policies” — table owners bypass row security unless FORCE ROW LEVEL SECURITY is set; referential-integrity checks always bypass row security, which can be used to probe for the existence of hidden rows.</t>
  </si>
  <si>
    <t xml:space="preserve">pgpriv</t>
  </si>
  <si>
    <t xml:space="preserve">PostgreSQL documentation, “Privileges” — the owner of an object is always treated as holding all grant options, so revoking rights from an owner does not constrain them.</t>
  </si>
  <si>
    <t xml:space="preserve">pgpart</t>
  </si>
  <si>
    <t xml:space="preserve">PostgreSQL documentation, “Table Partitioning” — range partitioning by time makes bulk retention a metadata operation (DETACH/DROP) rather than a mass delete.</t>
  </si>
  <si>
    <t xml:space="preserve">supabase</t>
  </si>
  <si>
    <t xml:space="preserve">Supabase, “RLS Performance and Best Practices” — wrapping a function call as (SELECT fn()) lets the planner hoist it to an InitPlan; the published benchmark moves a query from roughly 178,000 ms to about 12 ms.</t>
  </si>
  <si>
    <t xml:space="preserve">gbif</t>
  </si>
  <si>
    <t xml:space="preserve">GBIF engineering benchmark of PostgreSQL hierarchy strategies — on ~264,000 descendants, recursive adjacency ≈ 2,080 ms, ltree ≈ 512 ms, integer-array materialised paths ≈ 378 ms; a hybrid of adjacency for writes and a materialised path for reads was recommended.</t>
  </si>
  <si>
    <t xml:space="preserve">zanzibar</t>
  </si>
  <si>
    <t xml:space="preserve">Google, “Zanzibar: Google’s Consistent, Global Authorization System” (USENIX ATC 2019) — over two trillion relation tuples; Check latency p50 around 3 ms, but Write latency p50 around 127 ms. Zookies provide bounded staleness.</t>
  </si>
  <si>
    <t xml:space="preserve">cedar</t>
  </si>
  <si>
    <t xml:space="preserve">AWS Cedar policy language — forbid always overrides permit regardless of order, and policy templates express scoped grants without generating a role per scope.</t>
  </si>
  <si>
    <t xml:space="preserve">xacml</t>
  </si>
  <si>
    <t xml:space="preserve">OASIS XACML 3.0 — eight rule/policy combining algorithms and an explicit Indeterminate outcome; ordering matters, which is precisely why deny-overrides is the safe default.</t>
  </si>
  <si>
    <t xml:space="preserve">pcidss</t>
  </si>
  <si>
    <t xml:space="preserve">PCI DSS v4.0.1 — requirement 10.2.2 lists the fields every audit record must contain; 10.5.1 requires 12 months of audit history with at least the last 3 months immediately available.</t>
  </si>
  <si>
    <t xml:space="preserve">HIPAA Security Rule, 45 CFR §164.312(b) and §164.316(b)(2)(i) — audit controls, and documentation retained for six years.</t>
  </si>
  <si>
    <t xml:space="preserve">gdpr7</t>
  </si>
  <si>
    <t xml:space="preserve">Regulation (EU) 2016/679, Article 7(1) — where processing is based on consent, the controller “shall be able to demonstrate” that the data subject consented; Article 7(3) — withdrawal shall be as easy as giving consent.</t>
  </si>
  <si>
    <t xml:space="preserve">gdpr17</t>
  </si>
  <si>
    <t xml:space="preserve">Regulation (EU) 2016/679, Articles 17 (erasure) and 5(1)(e) (storage limitation), read with Article 17(3) exemptions for legal obligations and legal claims.</t>
  </si>
  <si>
    <t xml:space="preserve">gdpr33</t>
  </si>
  <si>
    <t xml:space="preserve">Regulation (EU) 2016/679, Art. 33(1) — notify the supervisory authority “without undue delay and, where feasible, not later than 72 hours after having become aware of it”; Art. 34(1) — communicate to the data subject without undue delay where the breach is likely to result in a high risk to rights and freedoms.</t>
  </si>
  <si>
    <t xml:space="preserve">Nigeria Data Protection Act 2023 §40 — notify the Commission within 72 hours. The General Application and Implementation Directive 2025 is reported to require notification to affected data subjects immediately where the breach is likely to result in high risk (Art. 33). UNVERIFIED: the Commission’s document portal could not be reached during this research pass, so the directive’s date, article number and exact wording have not been confirmed against the primary text. Confirm with the NDPC before relying on it.</t>
  </si>
  <si>
    <t xml:space="preserve">South Africa, Protection of Personal Information Act 4 of 2013 — notification to the Regulator and to data subjects as soon as reasonably possible after discovery.</t>
  </si>
  <si>
    <t xml:space="preserve">Kenya Data Protection Act 2019 §43(1)(a) — notify the Data Commissioner “without delay, within seventy-two hours of becoming aware of such breach”; the data subject where there is a real risk of harm. §50 gives the Cabinet Secretary a power to prescribe processing through a server or data centre located in Kenya on grounds of strategic state interest or protection of revenue; no general localisation mandate has been made under it, though sector-specific transfer restrictions exist (e.g. the Civil Registration Regulations 2020).</t>
  </si>
  <si>
    <t xml:space="preserve">hipaabreach</t>
  </si>
  <si>
    <t xml:space="preserve">HIPAA Breach Notification Rule, 45 CFR §§164.404–164.408 — individual notice without unreasonable delay and no later than 60 days.</t>
  </si>
  <si>
    <t xml:space="preserve">nist88</t>
  </si>
  <si>
    <t xml:space="preserve">NIST SP 800-88 Rev. 2 (final, 26 September 2025) — Cryptographic Erase is classified as a logical Purge technique: “a purge sanitization technique in which key sanitization is applied to one or more keys providing confidentiality protections.” Separately, no EDPB or ICO guidance was located that endorses key destruction alone as satisfying GDPR Article 17 erasure; the ICO frames the question as putting data “beyond use”.</t>
  </si>
  <si>
    <t xml:space="preserve">HL7 FHIR — PractitionerRole binds a practitioner to an organisation, location, specialty and period; Consent carries scope, category, actor and period; RelatedPerson models proxies.</t>
  </si>
  <si>
    <t xml:space="preserve">cfr395</t>
  </si>
  <si>
    <t xml:space="preserve">49 CFR §395.22 — ELD accounts are anchored to the driver’s licence, and the licence number must not be used as the account identifier.</t>
  </si>
  <si>
    <t xml:space="preserve">pgdocs18</t>
  </si>
  <si>
    <t xml:space="preserve">PostgreSQL 18 release notes and documentation (released 25 September 2025; 18.6 current as at August 2026). PostgreSQL 18 added non-overlapping PRIMARY KEY and UNIQUE constraints via WITHOUT OVERLAPS and temporal foreign keys via PERIOD. PostgreSQL 19 GA is expected September 2026.</t>
  </si>
  <si>
    <t xml:space="preserve">sqlite</t>
  </si>
  <si>
    <t xml:space="preserve">SQLite documentation, “Appropriate Uses For SQLite” and “Well-Known Users” — recommended for embedded, edge and single-writer workloads; write concurrency is serialised at the database level even in WAL mode.</t>
  </si>
  <si>
    <t xml:space="preserve">mongo</t>
  </si>
  <si>
    <t xml:space="preserve">MongoDB documentation on multi-document ACID transactions (available since 4.0 for replica sets, 4.2 for sharded clusters) and on the document model’s fit for variable-shape data.</t>
  </si>
  <si>
    <t xml:space="preserve">ch</t>
  </si>
  <si>
    <t xml:space="preserve">ClickHouse documentation — column-oriented MergeTree storage designed for analytical scans; not designed for high-rate point updates or foreign-key integrity.</t>
  </si>
  <si>
    <t xml:space="preserve">timescale</t>
  </si>
  <si>
    <t xml:space="preserve">TimescaleDB / Timescale documentation — hypertables partition time-series data inside PostgreSQL, with native compression and continuous aggregates.</t>
  </si>
  <si>
    <t xml:space="preserve">pgvector</t>
  </si>
  <si>
    <t xml:space="preserve">pgvector documentation — HNSW and IVFFlat indexes for approximate nearest-neighbour search inside PostgreSQL.</t>
  </si>
  <si>
    <t xml:space="preserve">openfga</t>
  </si>
  <si>
    <t xml:space="preserve">OpenFGA — advanced from CNCF Sandbox to Incubating on 28 October 2025 (announced January 2026), implementing the Zanzibar relationship-tuple model.</t>
  </si>
  <si>
    <t xml:space="preserve">spicedb</t>
  </si>
  <si>
    <t xml:space="preserve">SpiceDB (AuthZed) — open-source Zanzibar implementation with consistency tokens.</t>
  </si>
  <si>
    <t xml:space="preserve">cerbos</t>
  </si>
  <si>
    <t xml:space="preserve">Cerbos — a stateless policy decision point; policies are versioned files, scoped, with most-specific-wins resolution.</t>
  </si>
  <si>
    <t xml:space="preserve">avp</t>
  </si>
  <si>
    <t xml:space="preserve">AWS Verified Permissions service quotas — 200 requests per second per policy store for IsAuthorized and IsAuthorizedWithToken (adjustable; the batch APIs are 30 per second), and a non-adjustable limit of 100 transitive parents in the entity hierarchy, aggregated across principals, actions and resources.</t>
  </si>
  <si>
    <t xml:space="preserve">auth0imp</t>
  </si>
  <si>
    <t xml:space="preserve">Auth0’s user-impersonation endpoint is documented only under the legacy Authentication API path and is absent from the current product surface — i.e. it was not carried forward. Verify current status with Auth0 before relying on this.</t>
  </si>
  <si>
    <t xml:space="preserve">ghimp</t>
  </si>
  <si>
    <t xml:space="preserve">GitHub Enterprise Server — an administrator impersonating a user must select a reason, the session is recorded in both the enterprise audit log and the impersonated user’s security log, the user is emailed and “you cannot deactivate these emails”, and “a session is limited to one hour”. Documented for Enterprise Server, not Enterprise Cloud.</t>
  </si>
  <si>
    <t xml:space="preserve">supaaudit</t>
  </si>
  <si>
    <t xml:space="preserve">No generally maintained generic row-audit extension for PostgreSQL is currently available: supa_audit was archived on 16 February 2025 and is read-only; pgMemento’s last release was v0.7.4 in October 2022 (the repository is unmaintained rather than archived); and the 2ndQuadrant audit-trigger repository states that pull requests are not accepted and describes itself as “meant to be a demo more than a ready-to-run extension”.</t>
  </si>
  <si>
    <t xml:space="preserve">aha</t>
  </si>
  <si>
    <t xml:space="preserve">Aha! engineering, on removing a generic audit-trigger table that had grown to billions of rows and roughly half the database while over 90% of queries touched only the last 30 days.</t>
  </si>
  <si>
    <t xml:space="preserve">qldb</t>
  </si>
  <si>
    <t xml:space="preserve">Amazon QLDB reached end of support on 31 July 2025; ledger-style immutability is now generally implemented on general-purpose engines plus object storage with retention locks.</t>
  </si>
  <si>
    <t xml:space="preserve">fbic3</t>
  </si>
  <si>
    <t xml:space="preserve">FBI Internet Crime Complaint Center annual reports track SIM-swap complaints and losses, which is why NIST treats the public telephone network as a restricted channel.</t>
  </si>
  <si>
    <t xml:space="preserve">silver</t>
  </si>
  <si>
    <t xml:space="preserve">Len Silverston, The Data Model Resource Book — the party/role pattern: a party is a person or organisation, and roles are separate, dated relationships rather than columns on the party.</t>
  </si>
  <si>
    <t xml:space="preserve">kimball</t>
  </si>
  <si>
    <t xml:space="preserve">Ralph Kimball, The Data Warehouse Toolkit — bridge tables and type-2 slowly changing dimensions for reconstructing a hierarchy as at a past date.</t>
  </si>
  <si>
    <t xml:space="preserve">edfi</t>
  </si>
  <si>
    <t xml:space="preserve">Ed-Fi and OneRoster data standards — employment and assignment are distinct dated associations; a person can be employed by one organisation and assigned to another.</t>
  </si>
  <si>
    <t xml:space="preserve">shopify</t>
  </si>
  <si>
    <t xml:space="preserve">Shopify POS role documentation — staff at a physical till authenticate with a PIN against a location-scoped role, and individual permissions can be set to allowed, denied, or requiring manager approval.</t>
  </si>
  <si>
    <t xml:space="preserve">stripeR</t>
  </si>
  <si>
    <t xml:space="preserve">Stripe dashboard user roles — narrowly scoped operational roles are separated (for example refund handling is distinct from dispute handling) rather than combined into one “support” role.</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</si>
</sst>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A1D23"/>
      <name val="Arial"/>
      <family val="0"/>
      <charset val="1"/>
    </font>
    <font>
      <sz val="11"/>
      <color rgb="FF6B7482"/>
      <name val="Arial"/>
      <family val="0"/>
      <charset val="1"/>
    </font>
    <font>
      <b val="true"/>
      <sz val="10"/>
      <color rgb="FF1A1D23"/>
      <name val="Arial"/>
      <family val="0"/>
      <charset val="1"/>
    </font>
    <font>
      <sz val="10"/>
      <color rgb="FF1A1D23"/>
      <name val="Arial"/>
      <family val="0"/>
      <charset val="1"/>
    </font>
    <font>
      <b val="true"/>
      <sz val="12"/>
      <color rgb="FF1A1D23"/>
      <name val="Arial"/>
      <family val="0"/>
      <charset val="1"/>
    </font>
    <font>
      <b val="true"/>
      <sz val="10"/>
      <color rgb="FFFFFFFF"/>
      <name val="Arial"/>
      <family val="0"/>
      <charset val="1"/>
    </font>
    <font>
      <sz val="9"/>
      <color rgb="FF6B7482"/>
      <name val="Arial"/>
      <family val="0"/>
      <charset val="1"/>
    </font>
    <font>
      <sz val="10"/>
      <name val="Arial"/>
      <family val="2"/>
    </font>
    <font>
      <b val="true"/>
      <sz val="10"/>
      <color rgb="FF0F7A4D"/>
      <name val="Arial"/>
      <family val="0"/>
      <charset val="1"/>
    </font>
    <font>
      <b val="true"/>
      <sz val="9"/>
      <color rgb="FFA15C00"/>
      <name val="Arial"/>
      <family val="0"/>
      <charset val="1"/>
    </font>
  </fonts>
  <fills count="9">
    <fill>
      <patternFill patternType="none"/>
    </fill>
    <fill>
      <patternFill patternType="gray125"/>
    </fill>
    <fill>
      <patternFill patternType="solid">
        <fgColor rgb="FFFFF3C4"/>
        <bgColor rgb="FFFDF3E2"/>
      </patternFill>
    </fill>
    <fill>
      <patternFill patternType="solid">
        <fgColor rgb="FF11161F"/>
        <bgColor rgb="FF1A1D23"/>
      </patternFill>
    </fill>
    <fill>
      <patternFill patternType="solid">
        <fgColor rgb="FFFBECEC"/>
        <bgColor rgb="FFFDF3E2"/>
      </patternFill>
    </fill>
    <fill>
      <patternFill patternType="solid">
        <fgColor rgb="FFFDF3E2"/>
        <bgColor rgb="FFFBECEC"/>
      </patternFill>
    </fill>
    <fill>
      <patternFill patternType="solid">
        <fgColor rgb="FFEAF0FB"/>
        <bgColor rgb="FFEFF2F7"/>
      </patternFill>
    </fill>
    <fill>
      <patternFill patternType="solid">
        <fgColor rgb="FFEFF2F7"/>
        <bgColor rgb="FFEAF0FB"/>
      </patternFill>
    </fill>
    <fill>
      <patternFill patternType="solid">
        <fgColor rgb="FFE8F5EE"/>
        <bgColor rgb="FFEFF2F7"/>
      </patternFill>
    </fill>
  </fills>
  <borders count="2">
    <border diagonalUp="false" diagonalDown="false">
      <left/>
      <right/>
      <top/>
      <bottom/>
      <diagonal/>
    </border>
    <border diagonalUp="false" diagonalDown="false">
      <left style="thin">
        <color rgb="FFDFE3EA"/>
      </left>
      <right style="thin">
        <color rgb="FFDFE3EA"/>
      </right>
      <top style="thin">
        <color rgb="FFDFE3EA"/>
      </top>
      <bottom style="thin">
        <color rgb="FFDF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fals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8"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1161F"/>
          <bgColor rgb="FF000000"/>
        </patternFill>
      </fill>
    </dxf>
    <dxf>
      <fill>
        <patternFill patternType="solid">
          <bgColor rgb="FF000000"/>
        </patternFill>
      </fill>
    </dxf>
    <dxf>
      <fill>
        <patternFill patternType="solid">
          <fgColor rgb="FF1A1D23"/>
          <bgColor rgb="FF000000"/>
        </patternFill>
      </fill>
    </dxf>
    <dxf>
      <fill>
        <patternFill patternType="solid">
          <fgColor rgb="FFFFFFFF"/>
          <bgColor rgb="FF000000"/>
        </patternFill>
      </fill>
    </dxf>
    <dxf>
      <fill>
        <patternFill patternType="solid">
          <fgColor rgb="FF6B7482"/>
          <bgColor rgb="FF000000"/>
        </patternFill>
      </fill>
    </dxf>
    <dxf>
      <fill>
        <patternFill patternType="solid">
          <fgColor rgb="FFFFF3C4"/>
          <bgColor rgb="FF000000"/>
        </patternFill>
      </fill>
    </dxf>
    <dxf>
      <fill>
        <patternFill patternType="solid">
          <fgColor rgb="FFEAF0FB"/>
          <bgColor rgb="FF000000"/>
        </patternFill>
      </fill>
    </dxf>
    <dxf>
      <fill>
        <patternFill patternType="solid">
          <fgColor rgb="FFFBECEC"/>
          <bgColor rgb="FF000000"/>
        </patternFill>
      </fill>
    </dxf>
    <dxf>
      <fill>
        <patternFill patternType="solid">
          <fgColor rgb="FFFDF3E2"/>
          <bgColor rgb="FF000000"/>
        </patternFill>
      </fill>
    </dxf>
    <dxf>
      <fill>
        <patternFill patternType="solid">
          <fgColor rgb="FFEFF2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A4D"/>
      <rgbColor rgb="FFC0C0C0"/>
      <rgbColor rgb="FF808080"/>
      <rgbColor rgb="FF9999FF"/>
      <rgbColor rgb="FF993366"/>
      <rgbColor rgb="FFFFF3C4"/>
      <rgbColor rgb="FFE8F5EE"/>
      <rgbColor rgb="FF660066"/>
      <rgbColor rgb="FFFF8080"/>
      <rgbColor rgb="FF0066CC"/>
      <rgbColor rgb="FFDFE3EA"/>
      <rgbColor rgb="FF000080"/>
      <rgbColor rgb="FFFF00FF"/>
      <rgbColor rgb="FFFFFF00"/>
      <rgbColor rgb="FF00FFFF"/>
      <rgbColor rgb="FF800080"/>
      <rgbColor rgb="FF800000"/>
      <rgbColor rgb="FF008080"/>
      <rgbColor rgb="FF0000FF"/>
      <rgbColor rgb="FF00CCFF"/>
      <rgbColor rgb="FFEAF0FB"/>
      <rgbColor rgb="FFEFF2F7"/>
      <rgbColor rgb="FFFDF3E2"/>
      <rgbColor rgb="FF99CCFF"/>
      <rgbColor rgb="FFFF99CC"/>
      <rgbColor rgb="FFCC99FF"/>
      <rgbColor rgb="FFFBECEC"/>
      <rgbColor rgb="FF3366FF"/>
      <rgbColor rgb="FF33CCCC"/>
      <rgbColor rgb="FF99CC00"/>
      <rgbColor rgb="FFFFCC00"/>
      <rgbColor rgb="FFFF9900"/>
      <rgbColor rgb="FFFF6600"/>
      <rgbColor rgb="FF6B7482"/>
      <rgbColor rgb="FF969696"/>
      <rgbColor rgb="FF003366"/>
      <rgbColor rgb="FF339966"/>
      <rgbColor rgb="FF11161F"/>
      <rgbColor rgb="FF333300"/>
      <rgbColor rgb="FFA15C00"/>
      <rgbColor rgb="FF993366"/>
      <rgbColor rgb="FF333399"/>
      <rgbColor rgb="FF1A1D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08"/>
    <col collapsed="false" customWidth="true" hidden="false" outlineLevel="0" max="4" min="4" style="0" width="9"/>
  </cols>
  <sheetData>
    <row r="2" customFormat="false" ht="19.7" hidden="false" customHeight="false" outlineLevel="0" collapsed="false">
      <c r="B2" s="1" t="s">
        <v>0</v>
      </c>
      <c r="C2" s="1"/>
    </row>
    <row r="3" customFormat="false" ht="15" hidden="false" customHeight="false" outlineLevel="0" collapsed="false">
      <c r="B3" s="2" t="s">
        <v>1</v>
      </c>
      <c r="C3" s="2"/>
    </row>
    <row r="5" customFormat="false" ht="23.85" hidden="false" customHeight="false" outlineLevel="0" collapsed="false">
      <c r="B5" s="3" t="s">
        <v>2</v>
      </c>
      <c r="C5" s="4" t="s">
        <v>3</v>
      </c>
    </row>
    <row r="7" customFormat="false" ht="23.85" hidden="false" customHeight="false" outlineLevel="0" collapsed="false">
      <c r="B7" s="3" t="s">
        <v>4</v>
      </c>
      <c r="C7" s="5" t="s">
        <v>5</v>
      </c>
    </row>
    <row r="8" customFormat="false" ht="23.85" hidden="false" customHeight="false" outlineLevel="0" collapsed="false">
      <c r="B8" s="6"/>
      <c r="C8" s="5" t="s">
        <v>6</v>
      </c>
    </row>
    <row r="9" customFormat="false" ht="23.85" hidden="false" customHeight="false" outlineLevel="0" collapsed="false">
      <c r="B9" s="6"/>
      <c r="C9" s="5" t="s">
        <v>7</v>
      </c>
    </row>
    <row r="10" customFormat="false" ht="15" hidden="false" customHeight="false" outlineLevel="0" collapsed="false">
      <c r="B10" s="6"/>
      <c r="C10" s="5" t="s">
        <v>8</v>
      </c>
    </row>
    <row r="12" customFormat="false" ht="23.85" hidden="false" customHeight="false" outlineLevel="0" collapsed="false">
      <c r="B12" s="7" t="s">
        <v>9</v>
      </c>
      <c r="C12" s="8" t="s">
        <v>10</v>
      </c>
    </row>
    <row r="14" customFormat="false" ht="35.05" hidden="false" customHeight="false" outlineLevel="0" collapsed="false">
      <c r="B14" s="3" t="s">
        <v>11</v>
      </c>
      <c r="C14" s="5" t="s">
        <v>12</v>
      </c>
    </row>
    <row r="15" customFormat="false" ht="23.85" hidden="false" customHeight="false" outlineLevel="0" collapsed="false">
      <c r="B15" s="6"/>
      <c r="C15" s="5" t="s">
        <v>13</v>
      </c>
    </row>
    <row r="17" customFormat="false" ht="15" hidden="false" customHeight="false" outlineLevel="0" collapsed="false">
      <c r="B17" s="9" t="s">
        <v>14</v>
      </c>
    </row>
    <row r="18" customFormat="false" ht="15" hidden="false" customHeight="false" outlineLevel="0" collapsed="false">
      <c r="B18" s="10" t="s">
        <v>15</v>
      </c>
      <c r="C18" s="10" t="s">
        <v>16</v>
      </c>
      <c r="D18" s="10" t="s">
        <v>17</v>
      </c>
    </row>
    <row r="19" customFormat="false" ht="15" hidden="false" customHeight="false" outlineLevel="0" collapsed="false">
      <c r="B19" s="11" t="s">
        <v>18</v>
      </c>
      <c r="C19" s="12" t="s">
        <v>19</v>
      </c>
      <c r="D19" s="13" t="n">
        <f aca="false">COUNTA(Answers!A:A)-1</f>
        <v>113</v>
      </c>
    </row>
    <row r="20" customFormat="false" ht="15" hidden="false" customHeight="false" outlineLevel="0" collapsed="false">
      <c r="B20" s="11" t="s">
        <v>20</v>
      </c>
      <c r="C20" s="12" t="s">
        <v>21</v>
      </c>
      <c r="D20" s="13" t="n">
        <f aca="false">COUNTA('Conflict checks'!A:A)-1</f>
        <v>31</v>
      </c>
    </row>
    <row r="21" customFormat="false" ht="15" hidden="false" customHeight="false" outlineLevel="0" collapsed="false">
      <c r="B21" s="11" t="s">
        <v>22</v>
      </c>
      <c r="C21" s="12" t="s">
        <v>23</v>
      </c>
      <c r="D21" s="13" t="n">
        <f aca="false">COUNTA('Decision rules'!A:A)-1</f>
        <v>74</v>
      </c>
    </row>
    <row r="22" customFormat="false" ht="15" hidden="false" customHeight="false" outlineLevel="0" collapsed="false">
      <c r="B22" s="11" t="s">
        <v>24</v>
      </c>
      <c r="C22" s="12" t="s">
        <v>25</v>
      </c>
      <c r="D22" s="13" t="n">
        <f aca="false">COUNTA('Question bank'!A:A)-1</f>
        <v>669</v>
      </c>
    </row>
    <row r="23" customFormat="false" ht="15" hidden="false" customHeight="false" outlineLevel="0" collapsed="false">
      <c r="B23" s="11" t="s">
        <v>26</v>
      </c>
      <c r="C23" s="12" t="s">
        <v>27</v>
      </c>
      <c r="D23" s="13" t="n">
        <f aca="false">COUNTA('Role matrix'!B:B)-1</f>
        <v>18</v>
      </c>
    </row>
    <row r="24" customFormat="false" ht="15" hidden="false" customHeight="false" outlineLevel="0" collapsed="false">
      <c r="B24" s="11" t="s">
        <v>28</v>
      </c>
      <c r="C24" s="12" t="s">
        <v>29</v>
      </c>
      <c r="D24" s="13" t="n">
        <f aca="false">COUNTA('Regime clocks'!B:B)-1</f>
        <v>7</v>
      </c>
    </row>
    <row r="25" customFormat="false" ht="15" hidden="false" customHeight="false" outlineLevel="0" collapsed="false">
      <c r="B25" s="11" t="s">
        <v>30</v>
      </c>
      <c r="C25" s="12" t="s">
        <v>31</v>
      </c>
      <c r="D25" s="13" t="n">
        <f aca="false">COUNTA(Authenticators!B:B)-1</f>
        <v>10</v>
      </c>
    </row>
    <row r="26" customFormat="false" ht="15" hidden="false" customHeight="false" outlineLevel="0" collapsed="false">
      <c r="B26" s="11" t="s">
        <v>32</v>
      </c>
      <c r="C26" s="12" t="s">
        <v>33</v>
      </c>
      <c r="D26" s="13" t="n">
        <f aca="false">COUNTA(Evidence!A:A)-1</f>
        <v>56</v>
      </c>
    </row>
    <row r="28" customFormat="false" ht="15" hidden="false" customHeight="false" outlineLevel="0" collapsed="false">
      <c r="B28" s="9" t="s">
        <v>34</v>
      </c>
    </row>
    <row r="29" customFormat="false" ht="15" hidden="false" customHeight="false" outlineLevel="0" collapsed="false">
      <c r="B29" s="14" t="s">
        <v>35</v>
      </c>
      <c r="C29" s="15" t="n">
        <f aca="false">COUNTA(Answers!A:A)-1</f>
        <v>113</v>
      </c>
    </row>
    <row r="30" customFormat="false" ht="15" hidden="false" customHeight="false" outlineLevel="0" collapsed="false">
      <c r="B30" s="14" t="s">
        <v>36</v>
      </c>
      <c r="C30" s="15" t="n">
        <f aca="false">COUNTIF(Answers!$J$2:$J$200,"yes")</f>
        <v>91</v>
      </c>
    </row>
    <row r="31" customFormat="false" ht="15" hidden="false" customHeight="false" outlineLevel="0" collapsed="false">
      <c r="B31" s="14" t="s">
        <v>37</v>
      </c>
      <c r="C31" s="15" t="n">
        <f aca="false">(COUNTA(Answers!A:A)-1)-COUNTIF(Answers!$J$2:$J$200,"yes")</f>
        <v>22</v>
      </c>
    </row>
    <row r="32" customFormat="false" ht="15" hidden="false" customHeight="false" outlineLevel="0" collapsed="false">
      <c r="B32" s="14" t="s">
        <v>38</v>
      </c>
      <c r="C32" s="15" t="n">
        <f aca="false">COUNTIFS('Conflict checks'!$B$2:$B$200,"Contradiction",'Conflict checks'!$C$2:$C$200,"FIRES")</f>
        <v>0</v>
      </c>
    </row>
    <row r="33" customFormat="false" ht="15" hidden="false" customHeight="false" outlineLevel="0" collapsed="false">
      <c r="B33" s="14" t="s">
        <v>39</v>
      </c>
      <c r="C33" s="15" t="n">
        <f aca="false">COUNTIFS('Conflict checks'!$B$2:$B$200,"Risk",'Conflict checks'!$C$2:$C$200,"FIRES")</f>
        <v>0</v>
      </c>
    </row>
    <row r="34" customFormat="false" ht="15" hidden="false" customHeight="false" outlineLevel="0" collapsed="false">
      <c r="B34" s="14" t="s">
        <v>40</v>
      </c>
      <c r="C34" s="15" t="n">
        <f aca="false">COUNTIFS('Conflict checks'!$B$2:$B$200,"Consider",'Conflict checks'!$C$2:$C$200,"FIRES")</f>
        <v>0</v>
      </c>
    </row>
    <row r="36" customFormat="false" ht="15" hidden="false" customHeight="false" outlineLevel="0" collapsed="false">
      <c r="B36" s="9" t="s">
        <v>41</v>
      </c>
    </row>
    <row r="37" customFormat="false" ht="22.35" hidden="false" customHeight="false" outlineLevel="0" collapsed="false">
      <c r="C37" s="16" t="s">
        <v>42</v>
      </c>
    </row>
    <row r="38" customFormat="false" ht="32.8" hidden="false" customHeight="false" outlineLevel="0" collapsed="false">
      <c r="C38" s="16" t="s">
        <v>43</v>
      </c>
    </row>
    <row r="39" customFormat="false" ht="15" hidden="false" customHeight="false" outlineLevel="0" collapsed="false">
      <c r="C39" s="16" t="s">
        <v>44</v>
      </c>
    </row>
    <row r="40" customFormat="false" ht="22.35" hidden="false" customHeight="false" outlineLevel="0" collapsed="false">
      <c r="C40" s="16" t="s">
        <v>45</v>
      </c>
    </row>
  </sheetData>
  <mergeCells count="2">
    <mergeCell ref="B2:C2"/>
    <mergeCell ref="B3:C3"/>
  </mergeCells>
  <printOptions headings="false" gridLines="false" gridLinesSet="true" horizontalCentered="fals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&amp;LRead me&amp;R&amp;P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62"/>
    <col collapsed="false" customWidth="true" hidden="false" outlineLevel="0" max="5" min="4" style="0" width="9"/>
    <col collapsed="false" customWidth="true" hidden="false" outlineLevel="0" max="6" min="6" style="0" width="34"/>
    <col collapsed="false" customWidth="true" hidden="false" outlineLevel="0" max="7" min="7" style="0" width="26"/>
    <col collapsed="false" customWidth="true" hidden="false" outlineLevel="0" max="8" min="8" style="0" width="34"/>
    <col collapsed="false" customWidth="true" hidden="false" outlineLevel="0" max="9" min="9" style="0" width="30"/>
    <col collapsed="false" customWidth="true" hidden="false" outlineLevel="0" max="10" min="10" style="0" width="11"/>
  </cols>
  <sheetData>
    <row r="1" customFormat="false" ht="30" hidden="false" customHeight="true" outlineLevel="0" collapsed="false">
      <c r="A1" s="17" t="s">
        <v>46</v>
      </c>
      <c r="B1" s="17" t="s">
        <v>47</v>
      </c>
      <c r="C1" s="17" t="s">
        <v>48</v>
      </c>
      <c r="D1" s="17" t="s">
        <v>49</v>
      </c>
      <c r="E1" s="17" t="s">
        <v>50</v>
      </c>
      <c r="F1" s="17" t="s">
        <v>51</v>
      </c>
      <c r="G1" s="17" t="s">
        <v>52</v>
      </c>
      <c r="H1" s="17" t="s">
        <v>53</v>
      </c>
      <c r="I1" s="17" t="s">
        <v>54</v>
      </c>
      <c r="J1" s="17" t="s">
        <v>55</v>
      </c>
    </row>
    <row r="2" customFormat="false" ht="15" hidden="false" customHeight="false" outlineLevel="0" collapsed="false">
      <c r="A2" s="18" t="s">
        <v>56</v>
      </c>
      <c r="B2" s="12" t="s">
        <v>57</v>
      </c>
      <c r="C2" s="12" t="s">
        <v>58</v>
      </c>
      <c r="D2" s="12" t="s">
        <v>59</v>
      </c>
      <c r="E2" s="12" t="s">
        <v>60</v>
      </c>
      <c r="F2" s="19" t="s">
        <v>61</v>
      </c>
      <c r="G2" s="20" t="s">
        <v>62</v>
      </c>
      <c r="H2" s="20"/>
      <c r="I2" s="20"/>
      <c r="J2" s="21" t="str">
        <f aca="false">IF(LEN(TRIM(G2))&gt;0,"yes","-")</f>
        <v>yes</v>
      </c>
    </row>
    <row r="3" customFormat="false" ht="15" hidden="false" customHeight="false" outlineLevel="0" collapsed="false">
      <c r="A3" s="18" t="s">
        <v>63</v>
      </c>
      <c r="B3" s="12" t="s">
        <v>57</v>
      </c>
      <c r="C3" s="12" t="s">
        <v>64</v>
      </c>
      <c r="D3" s="12" t="s">
        <v>65</v>
      </c>
      <c r="E3" s="12" t="s">
        <v>60</v>
      </c>
      <c r="F3" s="19" t="s">
        <v>61</v>
      </c>
      <c r="G3" s="20" t="s">
        <v>66</v>
      </c>
      <c r="H3" s="20"/>
      <c r="I3" s="20"/>
      <c r="J3" s="21" t="str">
        <f aca="false">IF(LEN(TRIM(G3))&gt;0,"yes","-")</f>
        <v>yes</v>
      </c>
    </row>
    <row r="4" customFormat="false" ht="15" hidden="false" customHeight="false" outlineLevel="0" collapsed="false">
      <c r="A4" s="18" t="s">
        <v>67</v>
      </c>
      <c r="B4" s="12" t="s">
        <v>57</v>
      </c>
      <c r="C4" s="12" t="s">
        <v>68</v>
      </c>
      <c r="D4" s="12" t="s">
        <v>59</v>
      </c>
      <c r="E4" s="12" t="s">
        <v>60</v>
      </c>
      <c r="F4" s="19" t="s">
        <v>61</v>
      </c>
      <c r="G4" s="20" t="s">
        <v>69</v>
      </c>
      <c r="H4" s="20"/>
      <c r="I4" s="20"/>
      <c r="J4" s="21" t="str">
        <f aca="false">IF(LEN(TRIM(G4))&gt;0,"yes","-")</f>
        <v>yes</v>
      </c>
    </row>
    <row r="5" customFormat="false" ht="15" hidden="false" customHeight="false" outlineLevel="0" collapsed="false">
      <c r="A5" s="18" t="s">
        <v>70</v>
      </c>
      <c r="B5" s="12" t="s">
        <v>57</v>
      </c>
      <c r="C5" s="12" t="s">
        <v>71</v>
      </c>
      <c r="D5" s="12" t="s">
        <v>59</v>
      </c>
      <c r="E5" s="12" t="s">
        <v>60</v>
      </c>
      <c r="F5" s="19" t="s">
        <v>61</v>
      </c>
      <c r="G5" s="20" t="s">
        <v>72</v>
      </c>
      <c r="H5" s="20"/>
      <c r="I5" s="20"/>
      <c r="J5" s="21" t="str">
        <f aca="false">IF(LEN(TRIM(G5))&gt;0,"yes","-")</f>
        <v>yes</v>
      </c>
    </row>
    <row r="6" customFormat="false" ht="15" hidden="false" customHeight="false" outlineLevel="0" collapsed="false">
      <c r="A6" s="18" t="s">
        <v>73</v>
      </c>
      <c r="B6" s="12" t="s">
        <v>57</v>
      </c>
      <c r="C6" s="12" t="s">
        <v>74</v>
      </c>
      <c r="D6" s="12" t="s">
        <v>65</v>
      </c>
      <c r="E6" s="12" t="s">
        <v>60</v>
      </c>
      <c r="F6" s="19" t="s">
        <v>61</v>
      </c>
      <c r="G6" s="20" t="s">
        <v>75</v>
      </c>
      <c r="H6" s="20"/>
      <c r="I6" s="20"/>
      <c r="J6" s="21" t="str">
        <f aca="false">IF(LEN(TRIM(G6))&gt;0,"yes","-")</f>
        <v>yes</v>
      </c>
    </row>
    <row r="7" customFormat="false" ht="15" hidden="false" customHeight="false" outlineLevel="0" collapsed="false">
      <c r="A7" s="18" t="s">
        <v>76</v>
      </c>
      <c r="B7" s="12" t="s">
        <v>77</v>
      </c>
      <c r="C7" s="12" t="s">
        <v>78</v>
      </c>
      <c r="D7" s="12" t="s">
        <v>59</v>
      </c>
      <c r="E7" s="12" t="s">
        <v>60</v>
      </c>
      <c r="F7" s="19" t="s">
        <v>61</v>
      </c>
      <c r="G7" s="20" t="s">
        <v>79</v>
      </c>
      <c r="H7" s="20"/>
      <c r="I7" s="20"/>
      <c r="J7" s="21" t="str">
        <f aca="false">IF(LEN(TRIM(G7))&gt;0,"yes","-")</f>
        <v>yes</v>
      </c>
    </row>
    <row r="8" customFormat="false" ht="15" hidden="false" customHeight="false" outlineLevel="0" collapsed="false">
      <c r="A8" s="18" t="s">
        <v>80</v>
      </c>
      <c r="B8" s="12" t="s">
        <v>77</v>
      </c>
      <c r="C8" s="12" t="s">
        <v>81</v>
      </c>
      <c r="D8" s="12" t="s">
        <v>59</v>
      </c>
      <c r="E8" s="12" t="s">
        <v>60</v>
      </c>
      <c r="F8" s="19" t="s">
        <v>61</v>
      </c>
      <c r="G8" s="20" t="s">
        <v>82</v>
      </c>
      <c r="H8" s="20"/>
      <c r="I8" s="20"/>
      <c r="J8" s="21" t="str">
        <f aca="false">IF(LEN(TRIM(G8))&gt;0,"yes","-")</f>
        <v>yes</v>
      </c>
    </row>
    <row r="9" customFormat="false" ht="15" hidden="false" customHeight="false" outlineLevel="0" collapsed="false">
      <c r="A9" s="18" t="s">
        <v>83</v>
      </c>
      <c r="B9" s="12" t="s">
        <v>77</v>
      </c>
      <c r="C9" s="12" t="s">
        <v>84</v>
      </c>
      <c r="D9" s="12" t="s">
        <v>59</v>
      </c>
      <c r="E9" s="12" t="s">
        <v>60</v>
      </c>
      <c r="F9" s="19" t="s">
        <v>61</v>
      </c>
      <c r="G9" s="20" t="s">
        <v>85</v>
      </c>
      <c r="H9" s="20"/>
      <c r="I9" s="20"/>
      <c r="J9" s="21" t="str">
        <f aca="false">IF(LEN(TRIM(G9))&gt;0,"yes","-")</f>
        <v>yes</v>
      </c>
    </row>
    <row r="10" customFormat="false" ht="15" hidden="false" customHeight="false" outlineLevel="0" collapsed="false">
      <c r="A10" s="18" t="s">
        <v>86</v>
      </c>
      <c r="B10" s="12" t="s">
        <v>77</v>
      </c>
      <c r="C10" s="12" t="s">
        <v>87</v>
      </c>
      <c r="D10" s="12" t="s">
        <v>59</v>
      </c>
      <c r="E10" s="12" t="s">
        <v>60</v>
      </c>
      <c r="F10" s="19" t="s">
        <v>61</v>
      </c>
      <c r="G10" s="20" t="s">
        <v>88</v>
      </c>
      <c r="H10" s="20"/>
      <c r="I10" s="20"/>
      <c r="J10" s="21" t="str">
        <f aca="false">IF(LEN(TRIM(G10))&gt;0,"yes","-")</f>
        <v>yes</v>
      </c>
    </row>
    <row r="11" customFormat="false" ht="15" hidden="false" customHeight="false" outlineLevel="0" collapsed="false">
      <c r="A11" s="18" t="s">
        <v>89</v>
      </c>
      <c r="B11" s="12" t="s">
        <v>77</v>
      </c>
      <c r="C11" s="12" t="s">
        <v>90</v>
      </c>
      <c r="D11" s="12" t="s">
        <v>59</v>
      </c>
      <c r="E11" s="12" t="s">
        <v>60</v>
      </c>
      <c r="F11" s="19" t="s">
        <v>61</v>
      </c>
      <c r="G11" s="20" t="s">
        <v>91</v>
      </c>
      <c r="H11" s="20"/>
      <c r="I11" s="20"/>
      <c r="J11" s="21" t="str">
        <f aca="false">IF(LEN(TRIM(G11))&gt;0,"yes","-")</f>
        <v>yes</v>
      </c>
    </row>
    <row r="12" customFormat="false" ht="15" hidden="false" customHeight="false" outlineLevel="0" collapsed="false">
      <c r="A12" s="18" t="s">
        <v>92</v>
      </c>
      <c r="B12" s="12" t="s">
        <v>77</v>
      </c>
      <c r="C12" s="12" t="s">
        <v>93</v>
      </c>
      <c r="D12" s="12" t="s">
        <v>59</v>
      </c>
      <c r="E12" s="12" t="s">
        <v>60</v>
      </c>
      <c r="F12" s="19" t="s">
        <v>61</v>
      </c>
      <c r="G12" s="20" t="s">
        <v>94</v>
      </c>
      <c r="H12" s="20"/>
      <c r="I12" s="20"/>
      <c r="J12" s="21" t="str">
        <f aca="false">IF(LEN(TRIM(G12))&gt;0,"yes","-")</f>
        <v>yes</v>
      </c>
    </row>
    <row r="13" customFormat="false" ht="15" hidden="false" customHeight="false" outlineLevel="0" collapsed="false">
      <c r="A13" s="18" t="s">
        <v>95</v>
      </c>
      <c r="B13" s="12" t="s">
        <v>77</v>
      </c>
      <c r="C13" s="12" t="s">
        <v>96</v>
      </c>
      <c r="D13" s="12" t="s">
        <v>59</v>
      </c>
      <c r="E13" s="12" t="s">
        <v>60</v>
      </c>
      <c r="F13" s="19" t="s">
        <v>61</v>
      </c>
      <c r="G13" s="20" t="s">
        <v>97</v>
      </c>
      <c r="H13" s="20"/>
      <c r="I13" s="20"/>
      <c r="J13" s="21" t="str">
        <f aca="false">IF(LEN(TRIM(G13))&gt;0,"yes","-")</f>
        <v>yes</v>
      </c>
    </row>
    <row r="14" customFormat="false" ht="15" hidden="false" customHeight="false" outlineLevel="0" collapsed="false">
      <c r="A14" s="18" t="s">
        <v>98</v>
      </c>
      <c r="B14" s="12" t="s">
        <v>77</v>
      </c>
      <c r="C14" s="12" t="s">
        <v>99</v>
      </c>
      <c r="D14" s="12" t="s">
        <v>59</v>
      </c>
      <c r="E14" s="12" t="s">
        <v>60</v>
      </c>
      <c r="F14" s="19" t="s">
        <v>61</v>
      </c>
      <c r="G14" s="20" t="s">
        <v>100</v>
      </c>
      <c r="H14" s="20"/>
      <c r="I14" s="20"/>
      <c r="J14" s="21" t="str">
        <f aca="false">IF(LEN(TRIM(G14))&gt;0,"yes","-")</f>
        <v>yes</v>
      </c>
    </row>
    <row r="15" customFormat="false" ht="15" hidden="false" customHeight="false" outlineLevel="0" collapsed="false">
      <c r="A15" s="18" t="s">
        <v>101</v>
      </c>
      <c r="B15" s="12" t="s">
        <v>77</v>
      </c>
      <c r="C15" s="12" t="s">
        <v>102</v>
      </c>
      <c r="D15" s="12" t="s">
        <v>59</v>
      </c>
      <c r="E15" s="12" t="s">
        <v>60</v>
      </c>
      <c r="F15" s="19" t="s">
        <v>61</v>
      </c>
      <c r="G15" s="20" t="s">
        <v>103</v>
      </c>
      <c r="H15" s="20"/>
      <c r="I15" s="20"/>
      <c r="J15" s="21" t="str">
        <f aca="false">IF(LEN(TRIM(G15))&gt;0,"yes","-")</f>
        <v>yes</v>
      </c>
    </row>
    <row r="16" customFormat="false" ht="15" hidden="false" customHeight="false" outlineLevel="0" collapsed="false">
      <c r="A16" s="18" t="s">
        <v>104</v>
      </c>
      <c r="B16" s="12" t="s">
        <v>77</v>
      </c>
      <c r="C16" s="12" t="s">
        <v>105</v>
      </c>
      <c r="D16" s="12" t="s">
        <v>59</v>
      </c>
      <c r="E16" s="12" t="s">
        <v>60</v>
      </c>
      <c r="F16" s="19" t="s">
        <v>61</v>
      </c>
      <c r="G16" s="20" t="s">
        <v>106</v>
      </c>
      <c r="H16" s="20"/>
      <c r="I16" s="20"/>
      <c r="J16" s="21" t="str">
        <f aca="false">IF(LEN(TRIM(G16))&gt;0,"yes","-")</f>
        <v>yes</v>
      </c>
    </row>
    <row r="17" customFormat="false" ht="15" hidden="false" customHeight="false" outlineLevel="0" collapsed="false">
      <c r="A17" s="18" t="s">
        <v>107</v>
      </c>
      <c r="B17" s="12" t="s">
        <v>108</v>
      </c>
      <c r="C17" s="12" t="s">
        <v>109</v>
      </c>
      <c r="D17" s="12" t="s">
        <v>65</v>
      </c>
      <c r="E17" s="12" t="s">
        <v>60</v>
      </c>
      <c r="F17" s="19" t="s">
        <v>61</v>
      </c>
      <c r="G17" s="20" t="s">
        <v>110</v>
      </c>
      <c r="H17" s="20"/>
      <c r="I17" s="20"/>
      <c r="J17" s="21" t="str">
        <f aca="false">IF(LEN(TRIM(G17))&gt;0,"yes","-")</f>
        <v>yes</v>
      </c>
    </row>
    <row r="18" customFormat="false" ht="15" hidden="false" customHeight="false" outlineLevel="0" collapsed="false">
      <c r="A18" s="18" t="s">
        <v>111</v>
      </c>
      <c r="B18" s="12" t="s">
        <v>108</v>
      </c>
      <c r="C18" s="12" t="s">
        <v>112</v>
      </c>
      <c r="D18" s="12" t="s">
        <v>59</v>
      </c>
      <c r="E18" s="12" t="s">
        <v>60</v>
      </c>
      <c r="F18" s="19" t="s">
        <v>113</v>
      </c>
      <c r="G18" s="20" t="s">
        <v>114</v>
      </c>
      <c r="H18" s="20"/>
      <c r="I18" s="20"/>
      <c r="J18" s="21" t="str">
        <f aca="false">IF(LEN(TRIM(G18))&gt;0,"yes","-")</f>
        <v>yes</v>
      </c>
    </row>
    <row r="19" customFormat="false" ht="15" hidden="false" customHeight="false" outlineLevel="0" collapsed="false">
      <c r="A19" s="18" t="s">
        <v>115</v>
      </c>
      <c r="B19" s="12" t="s">
        <v>108</v>
      </c>
      <c r="C19" s="12" t="s">
        <v>116</v>
      </c>
      <c r="D19" s="12" t="s">
        <v>59</v>
      </c>
      <c r="E19" s="12" t="s">
        <v>60</v>
      </c>
      <c r="F19" s="19" t="s">
        <v>117</v>
      </c>
      <c r="G19" s="20" t="s">
        <v>118</v>
      </c>
      <c r="H19" s="20"/>
      <c r="I19" s="20"/>
      <c r="J19" s="21" t="str">
        <f aca="false">IF(LEN(TRIM(G19))&gt;0,"yes","-")</f>
        <v>yes</v>
      </c>
    </row>
    <row r="20" customFormat="false" ht="15" hidden="false" customHeight="false" outlineLevel="0" collapsed="false">
      <c r="A20" s="18" t="s">
        <v>119</v>
      </c>
      <c r="B20" s="12" t="s">
        <v>108</v>
      </c>
      <c r="C20" s="12" t="s">
        <v>120</v>
      </c>
      <c r="D20" s="12" t="s">
        <v>59</v>
      </c>
      <c r="E20" s="12" t="s">
        <v>60</v>
      </c>
      <c r="F20" s="19" t="s">
        <v>61</v>
      </c>
      <c r="G20" s="20" t="s">
        <v>121</v>
      </c>
      <c r="H20" s="20"/>
      <c r="I20" s="20"/>
      <c r="J20" s="21" t="str">
        <f aca="false">IF(LEN(TRIM(G20))&gt;0,"yes","-")</f>
        <v>yes</v>
      </c>
    </row>
    <row r="21" customFormat="false" ht="15" hidden="false" customHeight="false" outlineLevel="0" collapsed="false">
      <c r="A21" s="18" t="s">
        <v>122</v>
      </c>
      <c r="B21" s="12" t="s">
        <v>108</v>
      </c>
      <c r="C21" s="12" t="s">
        <v>123</v>
      </c>
      <c r="D21" s="12" t="s">
        <v>59</v>
      </c>
      <c r="E21" s="12" t="s">
        <v>60</v>
      </c>
      <c r="F21" s="19" t="s">
        <v>61</v>
      </c>
      <c r="G21" s="20" t="s">
        <v>118</v>
      </c>
      <c r="H21" s="20"/>
      <c r="I21" s="20"/>
      <c r="J21" s="21" t="str">
        <f aca="false">IF(LEN(TRIM(G21))&gt;0,"yes","-")</f>
        <v>yes</v>
      </c>
    </row>
    <row r="22" customFormat="false" ht="15" hidden="false" customHeight="false" outlineLevel="0" collapsed="false">
      <c r="A22" s="18" t="s">
        <v>124</v>
      </c>
      <c r="B22" s="12" t="s">
        <v>108</v>
      </c>
      <c r="C22" s="12" t="s">
        <v>125</v>
      </c>
      <c r="D22" s="12" t="s">
        <v>59</v>
      </c>
      <c r="E22" s="12" t="s">
        <v>60</v>
      </c>
      <c r="F22" s="19" t="s">
        <v>61</v>
      </c>
      <c r="G22" s="20" t="s">
        <v>126</v>
      </c>
      <c r="H22" s="20"/>
      <c r="I22" s="20"/>
      <c r="J22" s="21" t="str">
        <f aca="false">IF(LEN(TRIM(G22))&gt;0,"yes","-")</f>
        <v>yes</v>
      </c>
    </row>
    <row r="23" customFormat="false" ht="15" hidden="false" customHeight="false" outlineLevel="0" collapsed="false">
      <c r="A23" s="18" t="s">
        <v>127</v>
      </c>
      <c r="B23" s="12" t="s">
        <v>108</v>
      </c>
      <c r="C23" s="12" t="s">
        <v>128</v>
      </c>
      <c r="D23" s="12" t="s">
        <v>65</v>
      </c>
      <c r="E23" s="12" t="s">
        <v>60</v>
      </c>
      <c r="F23" s="19" t="s">
        <v>61</v>
      </c>
      <c r="G23" s="20" t="s">
        <v>75</v>
      </c>
      <c r="H23" s="20"/>
      <c r="I23" s="20"/>
      <c r="J23" s="21" t="str">
        <f aca="false">IF(LEN(TRIM(G23))&gt;0,"yes","-")</f>
        <v>yes</v>
      </c>
    </row>
    <row r="24" customFormat="false" ht="15" hidden="false" customHeight="false" outlineLevel="0" collapsed="false">
      <c r="A24" s="18" t="s">
        <v>129</v>
      </c>
      <c r="B24" s="12" t="s">
        <v>108</v>
      </c>
      <c r="C24" s="12" t="s">
        <v>130</v>
      </c>
      <c r="D24" s="12" t="s">
        <v>65</v>
      </c>
      <c r="E24" s="12" t="s">
        <v>60</v>
      </c>
      <c r="F24" s="19" t="s">
        <v>61</v>
      </c>
      <c r="G24" s="20" t="s">
        <v>131</v>
      </c>
      <c r="H24" s="20"/>
      <c r="I24" s="20"/>
      <c r="J24" s="21" t="str">
        <f aca="false">IF(LEN(TRIM(G24))&gt;0,"yes","-")</f>
        <v>yes</v>
      </c>
    </row>
    <row r="25" customFormat="false" ht="15" hidden="false" customHeight="false" outlineLevel="0" collapsed="false">
      <c r="A25" s="18" t="s">
        <v>132</v>
      </c>
      <c r="B25" s="12" t="s">
        <v>108</v>
      </c>
      <c r="C25" s="12" t="s">
        <v>133</v>
      </c>
      <c r="D25" s="12" t="s">
        <v>59</v>
      </c>
      <c r="E25" s="12" t="s">
        <v>60</v>
      </c>
      <c r="F25" s="19" t="s">
        <v>61</v>
      </c>
      <c r="G25" s="20" t="s">
        <v>106</v>
      </c>
      <c r="H25" s="20"/>
      <c r="I25" s="20"/>
      <c r="J25" s="21" t="str">
        <f aca="false">IF(LEN(TRIM(G25))&gt;0,"yes","-")</f>
        <v>yes</v>
      </c>
    </row>
    <row r="26" customFormat="false" ht="15" hidden="false" customHeight="false" outlineLevel="0" collapsed="false">
      <c r="A26" s="18" t="s">
        <v>134</v>
      </c>
      <c r="B26" s="12" t="s">
        <v>135</v>
      </c>
      <c r="C26" s="12" t="s">
        <v>136</v>
      </c>
      <c r="D26" s="12" t="s">
        <v>59</v>
      </c>
      <c r="E26" s="12" t="s">
        <v>60</v>
      </c>
      <c r="F26" s="19" t="s">
        <v>61</v>
      </c>
      <c r="G26" s="20" t="s">
        <v>137</v>
      </c>
      <c r="H26" s="20"/>
      <c r="I26" s="20"/>
      <c r="J26" s="21" t="str">
        <f aca="false">IF(LEN(TRIM(G26))&gt;0,"yes","-")</f>
        <v>yes</v>
      </c>
    </row>
    <row r="27" customFormat="false" ht="15" hidden="false" customHeight="false" outlineLevel="0" collapsed="false">
      <c r="A27" s="18" t="s">
        <v>138</v>
      </c>
      <c r="B27" s="12" t="s">
        <v>135</v>
      </c>
      <c r="C27" s="12" t="s">
        <v>139</v>
      </c>
      <c r="D27" s="12" t="s">
        <v>59</v>
      </c>
      <c r="E27" s="12" t="s">
        <v>60</v>
      </c>
      <c r="F27" s="19" t="s">
        <v>61</v>
      </c>
      <c r="G27" s="20" t="s">
        <v>140</v>
      </c>
      <c r="H27" s="20"/>
      <c r="I27" s="20"/>
      <c r="J27" s="21" t="str">
        <f aca="false">IF(LEN(TRIM(G27))&gt;0,"yes","-")</f>
        <v>yes</v>
      </c>
    </row>
    <row r="28" customFormat="false" ht="15" hidden="false" customHeight="false" outlineLevel="0" collapsed="false">
      <c r="A28" s="18" t="s">
        <v>141</v>
      </c>
      <c r="B28" s="12" t="s">
        <v>135</v>
      </c>
      <c r="C28" s="12" t="s">
        <v>142</v>
      </c>
      <c r="D28" s="12" t="s">
        <v>65</v>
      </c>
      <c r="E28" s="12" t="s">
        <v>60</v>
      </c>
      <c r="F28" s="19" t="s">
        <v>61</v>
      </c>
      <c r="G28" s="20" t="s">
        <v>143</v>
      </c>
      <c r="H28" s="20"/>
      <c r="I28" s="20"/>
      <c r="J28" s="21" t="str">
        <f aca="false">IF(LEN(TRIM(G28))&gt;0,"yes","-")</f>
        <v>yes</v>
      </c>
    </row>
    <row r="29" customFormat="false" ht="15" hidden="false" customHeight="false" outlineLevel="0" collapsed="false">
      <c r="A29" s="18" t="s">
        <v>144</v>
      </c>
      <c r="B29" s="12" t="s">
        <v>135</v>
      </c>
      <c r="C29" s="12" t="s">
        <v>145</v>
      </c>
      <c r="D29" s="12" t="s">
        <v>59</v>
      </c>
      <c r="E29" s="12" t="s">
        <v>60</v>
      </c>
      <c r="F29" s="19" t="s">
        <v>61</v>
      </c>
      <c r="G29" s="20" t="s">
        <v>146</v>
      </c>
      <c r="H29" s="20"/>
      <c r="I29" s="20"/>
      <c r="J29" s="21" t="str">
        <f aca="false">IF(LEN(TRIM(G29))&gt;0,"yes","-")</f>
        <v>yes</v>
      </c>
    </row>
    <row r="30" customFormat="false" ht="15" hidden="false" customHeight="false" outlineLevel="0" collapsed="false">
      <c r="A30" s="18" t="s">
        <v>147</v>
      </c>
      <c r="B30" s="12" t="s">
        <v>135</v>
      </c>
      <c r="C30" s="12" t="s">
        <v>148</v>
      </c>
      <c r="D30" s="12" t="s">
        <v>59</v>
      </c>
      <c r="E30" s="12" t="s">
        <v>60</v>
      </c>
      <c r="F30" s="19" t="s">
        <v>61</v>
      </c>
      <c r="G30" s="20" t="s">
        <v>149</v>
      </c>
      <c r="H30" s="20"/>
      <c r="I30" s="20"/>
      <c r="J30" s="21" t="str">
        <f aca="false">IF(LEN(TRIM(G30))&gt;0,"yes","-")</f>
        <v>yes</v>
      </c>
    </row>
    <row r="31" customFormat="false" ht="15" hidden="false" customHeight="false" outlineLevel="0" collapsed="false">
      <c r="A31" s="18" t="s">
        <v>150</v>
      </c>
      <c r="B31" s="12" t="s">
        <v>135</v>
      </c>
      <c r="C31" s="12" t="s">
        <v>151</v>
      </c>
      <c r="D31" s="12" t="s">
        <v>59</v>
      </c>
      <c r="E31" s="12" t="s">
        <v>60</v>
      </c>
      <c r="F31" s="19" t="s">
        <v>61</v>
      </c>
      <c r="G31" s="20" t="s">
        <v>152</v>
      </c>
      <c r="H31" s="20"/>
      <c r="I31" s="20"/>
      <c r="J31" s="21" t="str">
        <f aca="false">IF(LEN(TRIM(G31))&gt;0,"yes","-")</f>
        <v>yes</v>
      </c>
    </row>
    <row r="32" customFormat="false" ht="15" hidden="false" customHeight="false" outlineLevel="0" collapsed="false">
      <c r="A32" s="18" t="s">
        <v>153</v>
      </c>
      <c r="B32" s="12" t="s">
        <v>135</v>
      </c>
      <c r="C32" s="12" t="s">
        <v>154</v>
      </c>
      <c r="D32" s="12" t="s">
        <v>59</v>
      </c>
      <c r="E32" s="12" t="s">
        <v>60</v>
      </c>
      <c r="F32" s="19" t="s">
        <v>61</v>
      </c>
      <c r="G32" s="20" t="s">
        <v>155</v>
      </c>
      <c r="H32" s="20"/>
      <c r="I32" s="20"/>
      <c r="J32" s="21" t="str">
        <f aca="false">IF(LEN(TRIM(G32))&gt;0,"yes","-")</f>
        <v>yes</v>
      </c>
    </row>
    <row r="33" customFormat="false" ht="15" hidden="false" customHeight="false" outlineLevel="0" collapsed="false">
      <c r="A33" s="18" t="s">
        <v>156</v>
      </c>
      <c r="B33" s="12" t="s">
        <v>135</v>
      </c>
      <c r="C33" s="12" t="s">
        <v>157</v>
      </c>
      <c r="D33" s="12" t="s">
        <v>65</v>
      </c>
      <c r="E33" s="12" t="s">
        <v>60</v>
      </c>
      <c r="F33" s="19" t="s">
        <v>61</v>
      </c>
      <c r="G33" s="20" t="s">
        <v>158</v>
      </c>
      <c r="H33" s="20"/>
      <c r="I33" s="20"/>
      <c r="J33" s="21" t="str">
        <f aca="false">IF(LEN(TRIM(G33))&gt;0,"yes","-")</f>
        <v>yes</v>
      </c>
    </row>
    <row r="34" customFormat="false" ht="15" hidden="false" customHeight="false" outlineLevel="0" collapsed="false">
      <c r="A34" s="18" t="s">
        <v>159</v>
      </c>
      <c r="B34" s="12" t="s">
        <v>135</v>
      </c>
      <c r="C34" s="12" t="s">
        <v>160</v>
      </c>
      <c r="D34" s="12" t="s">
        <v>59</v>
      </c>
      <c r="E34" s="12" t="s">
        <v>60</v>
      </c>
      <c r="F34" s="19" t="s">
        <v>61</v>
      </c>
      <c r="G34" s="20" t="s">
        <v>161</v>
      </c>
      <c r="H34" s="20"/>
      <c r="I34" s="20"/>
      <c r="J34" s="21" t="str">
        <f aca="false">IF(LEN(TRIM(G34))&gt;0,"yes","-")</f>
        <v>yes</v>
      </c>
    </row>
    <row r="35" customFormat="false" ht="23.85" hidden="false" customHeight="false" outlineLevel="0" collapsed="false">
      <c r="A35" s="18" t="s">
        <v>162</v>
      </c>
      <c r="B35" s="12" t="s">
        <v>163</v>
      </c>
      <c r="C35" s="12" t="s">
        <v>164</v>
      </c>
      <c r="D35" s="12" t="s">
        <v>65</v>
      </c>
      <c r="E35" s="12" t="s">
        <v>60</v>
      </c>
      <c r="F35" s="19" t="s">
        <v>61</v>
      </c>
      <c r="G35" s="20" t="s">
        <v>165</v>
      </c>
      <c r="H35" s="20"/>
      <c r="I35" s="20"/>
      <c r="J35" s="21" t="str">
        <f aca="false">IF(LEN(TRIM(G35))&gt;0,"yes","-")</f>
        <v>yes</v>
      </c>
    </row>
    <row r="36" customFormat="false" ht="15" hidden="false" customHeight="false" outlineLevel="0" collapsed="false">
      <c r="A36" s="18" t="s">
        <v>166</v>
      </c>
      <c r="B36" s="12" t="s">
        <v>163</v>
      </c>
      <c r="C36" s="12" t="s">
        <v>167</v>
      </c>
      <c r="D36" s="12" t="s">
        <v>65</v>
      </c>
      <c r="E36" s="12" t="s">
        <v>60</v>
      </c>
      <c r="F36" s="19" t="s">
        <v>61</v>
      </c>
      <c r="G36" s="20" t="s">
        <v>110</v>
      </c>
      <c r="H36" s="20"/>
      <c r="I36" s="20"/>
      <c r="J36" s="21" t="str">
        <f aca="false">IF(LEN(TRIM(G36))&gt;0,"yes","-")</f>
        <v>yes</v>
      </c>
    </row>
    <row r="37" customFormat="false" ht="15" hidden="false" customHeight="false" outlineLevel="0" collapsed="false">
      <c r="A37" s="18" t="s">
        <v>168</v>
      </c>
      <c r="B37" s="12" t="s">
        <v>163</v>
      </c>
      <c r="C37" s="12" t="s">
        <v>169</v>
      </c>
      <c r="D37" s="12" t="s">
        <v>59</v>
      </c>
      <c r="E37" s="12" t="s">
        <v>60</v>
      </c>
      <c r="F37" s="19" t="s">
        <v>61</v>
      </c>
      <c r="G37" s="20" t="s">
        <v>170</v>
      </c>
      <c r="H37" s="20"/>
      <c r="I37" s="20"/>
      <c r="J37" s="21" t="str">
        <f aca="false">IF(LEN(TRIM(G37))&gt;0,"yes","-")</f>
        <v>yes</v>
      </c>
    </row>
    <row r="38" customFormat="false" ht="15" hidden="false" customHeight="false" outlineLevel="0" collapsed="false">
      <c r="A38" s="18" t="s">
        <v>171</v>
      </c>
      <c r="B38" s="12" t="s">
        <v>163</v>
      </c>
      <c r="C38" s="12" t="s">
        <v>172</v>
      </c>
      <c r="D38" s="12" t="s">
        <v>59</v>
      </c>
      <c r="E38" s="12" t="s">
        <v>60</v>
      </c>
      <c r="F38" s="19" t="s">
        <v>61</v>
      </c>
      <c r="G38" s="20" t="s">
        <v>173</v>
      </c>
      <c r="H38" s="20"/>
      <c r="I38" s="20"/>
      <c r="J38" s="21" t="str">
        <f aca="false">IF(LEN(TRIM(G38))&gt;0,"yes","-")</f>
        <v>yes</v>
      </c>
    </row>
    <row r="39" customFormat="false" ht="15" hidden="false" customHeight="false" outlineLevel="0" collapsed="false">
      <c r="A39" s="18" t="s">
        <v>174</v>
      </c>
      <c r="B39" s="12" t="s">
        <v>163</v>
      </c>
      <c r="C39" s="12" t="s">
        <v>175</v>
      </c>
      <c r="D39" s="12" t="s">
        <v>59</v>
      </c>
      <c r="E39" s="12" t="s">
        <v>60</v>
      </c>
      <c r="F39" s="19" t="s">
        <v>61</v>
      </c>
      <c r="G39" s="20" t="s">
        <v>176</v>
      </c>
      <c r="H39" s="20"/>
      <c r="I39" s="20"/>
      <c r="J39" s="21" t="str">
        <f aca="false">IF(LEN(TRIM(G39))&gt;0,"yes","-")</f>
        <v>yes</v>
      </c>
    </row>
    <row r="40" customFormat="false" ht="15" hidden="false" customHeight="false" outlineLevel="0" collapsed="false">
      <c r="A40" s="18" t="s">
        <v>177</v>
      </c>
      <c r="B40" s="12" t="s">
        <v>163</v>
      </c>
      <c r="C40" s="12" t="s">
        <v>178</v>
      </c>
      <c r="D40" s="12" t="s">
        <v>59</v>
      </c>
      <c r="E40" s="12" t="s">
        <v>60</v>
      </c>
      <c r="F40" s="19" t="s">
        <v>61</v>
      </c>
      <c r="G40" s="20" t="s">
        <v>179</v>
      </c>
      <c r="H40" s="20"/>
      <c r="I40" s="20"/>
      <c r="J40" s="21" t="str">
        <f aca="false">IF(LEN(TRIM(G40))&gt;0,"yes","-")</f>
        <v>yes</v>
      </c>
    </row>
    <row r="41" customFormat="false" ht="15" hidden="false" customHeight="false" outlineLevel="0" collapsed="false">
      <c r="A41" s="18" t="s">
        <v>180</v>
      </c>
      <c r="B41" s="12" t="s">
        <v>163</v>
      </c>
      <c r="C41" s="12" t="s">
        <v>181</v>
      </c>
      <c r="D41" s="12" t="s">
        <v>59</v>
      </c>
      <c r="E41" s="12" t="s">
        <v>60</v>
      </c>
      <c r="F41" s="19" t="s">
        <v>61</v>
      </c>
      <c r="G41" s="20" t="s">
        <v>106</v>
      </c>
      <c r="H41" s="20"/>
      <c r="I41" s="20"/>
      <c r="J41" s="21" t="str">
        <f aca="false">IF(LEN(TRIM(G41))&gt;0,"yes","-")</f>
        <v>yes</v>
      </c>
    </row>
    <row r="42" customFormat="false" ht="15" hidden="false" customHeight="false" outlineLevel="0" collapsed="false">
      <c r="A42" s="18" t="s">
        <v>182</v>
      </c>
      <c r="B42" s="12" t="s">
        <v>183</v>
      </c>
      <c r="C42" s="12" t="s">
        <v>184</v>
      </c>
      <c r="D42" s="12" t="s">
        <v>65</v>
      </c>
      <c r="E42" s="12" t="s">
        <v>60</v>
      </c>
      <c r="F42" s="19" t="s">
        <v>61</v>
      </c>
      <c r="G42" s="20" t="s">
        <v>185</v>
      </c>
      <c r="H42" s="20"/>
      <c r="I42" s="20"/>
      <c r="J42" s="21" t="str">
        <f aca="false">IF(LEN(TRIM(G42))&gt;0,"yes","-")</f>
        <v>yes</v>
      </c>
    </row>
    <row r="43" customFormat="false" ht="15" hidden="false" customHeight="false" outlineLevel="0" collapsed="false">
      <c r="A43" s="18" t="s">
        <v>186</v>
      </c>
      <c r="B43" s="12" t="s">
        <v>183</v>
      </c>
      <c r="C43" s="12" t="s">
        <v>187</v>
      </c>
      <c r="D43" s="12" t="s">
        <v>59</v>
      </c>
      <c r="E43" s="12" t="s">
        <v>60</v>
      </c>
      <c r="F43" s="19" t="s">
        <v>188</v>
      </c>
      <c r="G43" s="20" t="s">
        <v>189</v>
      </c>
      <c r="H43" s="20"/>
      <c r="I43" s="20"/>
      <c r="J43" s="21" t="str">
        <f aca="false">IF(LEN(TRIM(G43))&gt;0,"yes","-")</f>
        <v>yes</v>
      </c>
    </row>
    <row r="44" customFormat="false" ht="15" hidden="false" customHeight="false" outlineLevel="0" collapsed="false">
      <c r="A44" s="18" t="s">
        <v>190</v>
      </c>
      <c r="B44" s="12" t="s">
        <v>183</v>
      </c>
      <c r="C44" s="12" t="s">
        <v>191</v>
      </c>
      <c r="D44" s="12" t="s">
        <v>59</v>
      </c>
      <c r="E44" s="12" t="s">
        <v>60</v>
      </c>
      <c r="F44" s="19" t="s">
        <v>188</v>
      </c>
      <c r="G44" s="20" t="s">
        <v>192</v>
      </c>
      <c r="H44" s="20"/>
      <c r="I44" s="20"/>
      <c r="J44" s="21" t="str">
        <f aca="false">IF(LEN(TRIM(G44))&gt;0,"yes","-")</f>
        <v>yes</v>
      </c>
    </row>
    <row r="45" customFormat="false" ht="15" hidden="false" customHeight="false" outlineLevel="0" collapsed="false">
      <c r="A45" s="18" t="s">
        <v>193</v>
      </c>
      <c r="B45" s="12" t="s">
        <v>183</v>
      </c>
      <c r="C45" s="12" t="s">
        <v>194</v>
      </c>
      <c r="D45" s="12" t="s">
        <v>59</v>
      </c>
      <c r="E45" s="12" t="s">
        <v>60</v>
      </c>
      <c r="F45" s="19" t="s">
        <v>188</v>
      </c>
      <c r="G45" s="20" t="s">
        <v>195</v>
      </c>
      <c r="H45" s="20"/>
      <c r="I45" s="20"/>
      <c r="J45" s="21" t="str">
        <f aca="false">IF(LEN(TRIM(G45))&gt;0,"yes","-")</f>
        <v>yes</v>
      </c>
    </row>
    <row r="46" customFormat="false" ht="15" hidden="false" customHeight="false" outlineLevel="0" collapsed="false">
      <c r="A46" s="18" t="s">
        <v>196</v>
      </c>
      <c r="B46" s="12" t="s">
        <v>183</v>
      </c>
      <c r="C46" s="12" t="s">
        <v>197</v>
      </c>
      <c r="D46" s="12" t="s">
        <v>59</v>
      </c>
      <c r="E46" s="12" t="s">
        <v>60</v>
      </c>
      <c r="F46" s="19" t="s">
        <v>188</v>
      </c>
      <c r="G46" s="20" t="s">
        <v>106</v>
      </c>
      <c r="H46" s="20"/>
      <c r="I46" s="20"/>
      <c r="J46" s="21" t="str">
        <f aca="false">IF(LEN(TRIM(G46))&gt;0,"yes","-")</f>
        <v>yes</v>
      </c>
    </row>
    <row r="47" customFormat="false" ht="23.85" hidden="false" customHeight="false" outlineLevel="0" collapsed="false">
      <c r="A47" s="18" t="s">
        <v>198</v>
      </c>
      <c r="B47" s="12" t="s">
        <v>183</v>
      </c>
      <c r="C47" s="12" t="s">
        <v>199</v>
      </c>
      <c r="D47" s="12" t="s">
        <v>59</v>
      </c>
      <c r="E47" s="12" t="s">
        <v>60</v>
      </c>
      <c r="F47" s="19" t="s">
        <v>200</v>
      </c>
      <c r="G47" s="20" t="s">
        <v>201</v>
      </c>
      <c r="H47" s="20"/>
      <c r="I47" s="20"/>
      <c r="J47" s="21" t="str">
        <f aca="false">IF(LEN(TRIM(G47))&gt;0,"yes","-")</f>
        <v>yes</v>
      </c>
    </row>
    <row r="48" customFormat="false" ht="23.85" hidden="false" customHeight="false" outlineLevel="0" collapsed="false">
      <c r="A48" s="18" t="s">
        <v>202</v>
      </c>
      <c r="B48" s="12" t="s">
        <v>203</v>
      </c>
      <c r="C48" s="12" t="s">
        <v>204</v>
      </c>
      <c r="D48" s="12" t="s">
        <v>59</v>
      </c>
      <c r="E48" s="12" t="s">
        <v>60</v>
      </c>
      <c r="F48" s="19" t="s">
        <v>61</v>
      </c>
      <c r="G48" s="20" t="s">
        <v>205</v>
      </c>
      <c r="H48" s="20"/>
      <c r="I48" s="20"/>
      <c r="J48" s="21" t="str">
        <f aca="false">IF(LEN(TRIM(G48))&gt;0,"yes","-")</f>
        <v>yes</v>
      </c>
    </row>
    <row r="49" customFormat="false" ht="15" hidden="false" customHeight="false" outlineLevel="0" collapsed="false">
      <c r="A49" s="18" t="s">
        <v>206</v>
      </c>
      <c r="B49" s="12" t="s">
        <v>203</v>
      </c>
      <c r="C49" s="12" t="s">
        <v>207</v>
      </c>
      <c r="D49" s="12" t="s">
        <v>59</v>
      </c>
      <c r="E49" s="12" t="s">
        <v>60</v>
      </c>
      <c r="F49" s="19" t="s">
        <v>61</v>
      </c>
      <c r="G49" s="20" t="s">
        <v>208</v>
      </c>
      <c r="H49" s="20"/>
      <c r="I49" s="20"/>
      <c r="J49" s="21" t="str">
        <f aca="false">IF(LEN(TRIM(G49))&gt;0,"yes","-")</f>
        <v>yes</v>
      </c>
    </row>
    <row r="50" customFormat="false" ht="15" hidden="false" customHeight="false" outlineLevel="0" collapsed="false">
      <c r="A50" s="18" t="s">
        <v>209</v>
      </c>
      <c r="B50" s="12" t="s">
        <v>203</v>
      </c>
      <c r="C50" s="12" t="s">
        <v>210</v>
      </c>
      <c r="D50" s="12" t="s">
        <v>59</v>
      </c>
      <c r="E50" s="12" t="s">
        <v>60</v>
      </c>
      <c r="F50" s="19" t="s">
        <v>61</v>
      </c>
      <c r="G50" s="20" t="s">
        <v>211</v>
      </c>
      <c r="H50" s="20"/>
      <c r="I50" s="20"/>
      <c r="J50" s="21" t="str">
        <f aca="false">IF(LEN(TRIM(G50))&gt;0,"yes","-")</f>
        <v>yes</v>
      </c>
    </row>
    <row r="51" customFormat="false" ht="15" hidden="false" customHeight="false" outlineLevel="0" collapsed="false">
      <c r="A51" s="18" t="s">
        <v>212</v>
      </c>
      <c r="B51" s="12" t="s">
        <v>203</v>
      </c>
      <c r="C51" s="12" t="s">
        <v>213</v>
      </c>
      <c r="D51" s="12" t="s">
        <v>59</v>
      </c>
      <c r="E51" s="12" t="s">
        <v>60</v>
      </c>
      <c r="F51" s="19" t="s">
        <v>61</v>
      </c>
      <c r="G51" s="20" t="s">
        <v>106</v>
      </c>
      <c r="H51" s="20"/>
      <c r="I51" s="20"/>
      <c r="J51" s="21" t="str">
        <f aca="false">IF(LEN(TRIM(G51))&gt;0,"yes","-")</f>
        <v>yes</v>
      </c>
    </row>
    <row r="52" customFormat="false" ht="15" hidden="false" customHeight="false" outlineLevel="0" collapsed="false">
      <c r="A52" s="18" t="s">
        <v>214</v>
      </c>
      <c r="B52" s="12" t="s">
        <v>203</v>
      </c>
      <c r="C52" s="12" t="s">
        <v>215</v>
      </c>
      <c r="D52" s="12" t="s">
        <v>65</v>
      </c>
      <c r="E52" s="12" t="s">
        <v>60</v>
      </c>
      <c r="F52" s="19" t="s">
        <v>61</v>
      </c>
      <c r="G52" s="20" t="s">
        <v>75</v>
      </c>
      <c r="H52" s="20"/>
      <c r="I52" s="20"/>
      <c r="J52" s="21" t="str">
        <f aca="false">IF(LEN(TRIM(G52))&gt;0,"yes","-")</f>
        <v>yes</v>
      </c>
    </row>
    <row r="53" customFormat="false" ht="22.35" hidden="false" customHeight="false" outlineLevel="0" collapsed="false">
      <c r="A53" s="18" t="s">
        <v>216</v>
      </c>
      <c r="B53" s="12" t="s">
        <v>203</v>
      </c>
      <c r="C53" s="12" t="s">
        <v>217</v>
      </c>
      <c r="D53" s="12" t="s">
        <v>59</v>
      </c>
      <c r="E53" s="12" t="s">
        <v>60</v>
      </c>
      <c r="F53" s="19" t="s">
        <v>218</v>
      </c>
      <c r="G53" s="20"/>
      <c r="H53" s="20"/>
      <c r="I53" s="20"/>
      <c r="J53" s="21" t="str">
        <f aca="false">IF(LEN(TRIM(G53))&gt;0,"yes","-")</f>
        <v>-</v>
      </c>
    </row>
    <row r="54" customFormat="false" ht="22.35" hidden="false" customHeight="false" outlineLevel="0" collapsed="false">
      <c r="A54" s="18" t="s">
        <v>219</v>
      </c>
      <c r="B54" s="12" t="s">
        <v>203</v>
      </c>
      <c r="C54" s="12" t="s">
        <v>220</v>
      </c>
      <c r="D54" s="12" t="s">
        <v>59</v>
      </c>
      <c r="E54" s="12" t="s">
        <v>60</v>
      </c>
      <c r="F54" s="19" t="s">
        <v>221</v>
      </c>
      <c r="G54" s="20"/>
      <c r="H54" s="20"/>
      <c r="I54" s="20"/>
      <c r="J54" s="21" t="str">
        <f aca="false">IF(LEN(TRIM(G54))&gt;0,"yes","-")</f>
        <v>-</v>
      </c>
    </row>
    <row r="55" customFormat="false" ht="22.35" hidden="false" customHeight="false" outlineLevel="0" collapsed="false">
      <c r="A55" s="18" t="s">
        <v>222</v>
      </c>
      <c r="B55" s="12" t="s">
        <v>203</v>
      </c>
      <c r="C55" s="12" t="s">
        <v>223</v>
      </c>
      <c r="D55" s="12" t="s">
        <v>59</v>
      </c>
      <c r="E55" s="12" t="s">
        <v>60</v>
      </c>
      <c r="F55" s="19" t="s">
        <v>224</v>
      </c>
      <c r="G55" s="20"/>
      <c r="H55" s="20"/>
      <c r="I55" s="20"/>
      <c r="J55" s="21" t="str">
        <f aca="false">IF(LEN(TRIM(G55))&gt;0,"yes","-")</f>
        <v>-</v>
      </c>
    </row>
    <row r="56" customFormat="false" ht="15" hidden="false" customHeight="false" outlineLevel="0" collapsed="false">
      <c r="A56" s="18" t="s">
        <v>225</v>
      </c>
      <c r="B56" s="12" t="s">
        <v>203</v>
      </c>
      <c r="C56" s="12" t="s">
        <v>226</v>
      </c>
      <c r="D56" s="12" t="s">
        <v>59</v>
      </c>
      <c r="E56" s="12" t="s">
        <v>60</v>
      </c>
      <c r="F56" s="19" t="s">
        <v>227</v>
      </c>
      <c r="G56" s="20" t="s">
        <v>228</v>
      </c>
      <c r="H56" s="20"/>
      <c r="I56" s="20"/>
      <c r="J56" s="21" t="str">
        <f aca="false">IF(LEN(TRIM(G56))&gt;0,"yes","-")</f>
        <v>yes</v>
      </c>
    </row>
    <row r="57" customFormat="false" ht="15" hidden="false" customHeight="false" outlineLevel="0" collapsed="false">
      <c r="A57" s="18" t="s">
        <v>229</v>
      </c>
      <c r="B57" s="12" t="s">
        <v>230</v>
      </c>
      <c r="C57" s="12" t="s">
        <v>231</v>
      </c>
      <c r="D57" s="12" t="s">
        <v>59</v>
      </c>
      <c r="E57" s="12" t="s">
        <v>60</v>
      </c>
      <c r="F57" s="19" t="s">
        <v>61</v>
      </c>
      <c r="G57" s="20" t="s">
        <v>232</v>
      </c>
      <c r="H57" s="20"/>
      <c r="I57" s="20"/>
      <c r="J57" s="21" t="str">
        <f aca="false">IF(LEN(TRIM(G57))&gt;0,"yes","-")</f>
        <v>yes</v>
      </c>
    </row>
    <row r="58" customFormat="false" ht="15" hidden="false" customHeight="false" outlineLevel="0" collapsed="false">
      <c r="A58" s="18" t="s">
        <v>233</v>
      </c>
      <c r="B58" s="12" t="s">
        <v>230</v>
      </c>
      <c r="C58" s="12" t="s">
        <v>234</v>
      </c>
      <c r="D58" s="12" t="s">
        <v>59</v>
      </c>
      <c r="E58" s="12" t="s">
        <v>60</v>
      </c>
      <c r="F58" s="19" t="s">
        <v>61</v>
      </c>
      <c r="G58" s="20" t="s">
        <v>235</v>
      </c>
      <c r="H58" s="20"/>
      <c r="I58" s="20"/>
      <c r="J58" s="21" t="str">
        <f aca="false">IF(LEN(TRIM(G58))&gt;0,"yes","-")</f>
        <v>yes</v>
      </c>
    </row>
    <row r="59" customFormat="false" ht="15" hidden="false" customHeight="false" outlineLevel="0" collapsed="false">
      <c r="A59" s="18" t="s">
        <v>236</v>
      </c>
      <c r="B59" s="12" t="s">
        <v>230</v>
      </c>
      <c r="C59" s="12" t="s">
        <v>237</v>
      </c>
      <c r="D59" s="12" t="s">
        <v>59</v>
      </c>
      <c r="E59" s="12" t="s">
        <v>60</v>
      </c>
      <c r="F59" s="19" t="s">
        <v>61</v>
      </c>
      <c r="G59" s="20" t="s">
        <v>238</v>
      </c>
      <c r="H59" s="20"/>
      <c r="I59" s="20"/>
      <c r="J59" s="21" t="str">
        <f aca="false">IF(LEN(TRIM(G59))&gt;0,"yes","-")</f>
        <v>yes</v>
      </c>
    </row>
    <row r="60" customFormat="false" ht="15" hidden="false" customHeight="false" outlineLevel="0" collapsed="false">
      <c r="A60" s="18" t="s">
        <v>239</v>
      </c>
      <c r="B60" s="12" t="s">
        <v>230</v>
      </c>
      <c r="C60" s="12" t="s">
        <v>240</v>
      </c>
      <c r="D60" s="12" t="s">
        <v>59</v>
      </c>
      <c r="E60" s="12" t="s">
        <v>60</v>
      </c>
      <c r="F60" s="19" t="s">
        <v>61</v>
      </c>
      <c r="G60" s="20" t="s">
        <v>241</v>
      </c>
      <c r="H60" s="20"/>
      <c r="I60" s="20"/>
      <c r="J60" s="21" t="str">
        <f aca="false">IF(LEN(TRIM(G60))&gt;0,"yes","-")</f>
        <v>yes</v>
      </c>
    </row>
    <row r="61" customFormat="false" ht="15" hidden="false" customHeight="false" outlineLevel="0" collapsed="false">
      <c r="A61" s="18" t="s">
        <v>242</v>
      </c>
      <c r="B61" s="12" t="s">
        <v>230</v>
      </c>
      <c r="C61" s="12" t="s">
        <v>243</v>
      </c>
      <c r="D61" s="12" t="s">
        <v>65</v>
      </c>
      <c r="E61" s="12" t="s">
        <v>60</v>
      </c>
      <c r="F61" s="19" t="s">
        <v>61</v>
      </c>
      <c r="G61" s="20" t="s">
        <v>244</v>
      </c>
      <c r="H61" s="20"/>
      <c r="I61" s="20"/>
      <c r="J61" s="21" t="str">
        <f aca="false">IF(LEN(TRIM(G61))&gt;0,"yes","-")</f>
        <v>yes</v>
      </c>
    </row>
    <row r="62" customFormat="false" ht="15" hidden="false" customHeight="false" outlineLevel="0" collapsed="false">
      <c r="A62" s="18" t="s">
        <v>245</v>
      </c>
      <c r="B62" s="12" t="s">
        <v>230</v>
      </c>
      <c r="C62" s="12" t="s">
        <v>246</v>
      </c>
      <c r="D62" s="12" t="s">
        <v>59</v>
      </c>
      <c r="E62" s="12" t="s">
        <v>60</v>
      </c>
      <c r="F62" s="19" t="s">
        <v>61</v>
      </c>
      <c r="G62" s="20" t="s">
        <v>247</v>
      </c>
      <c r="H62" s="20"/>
      <c r="I62" s="20"/>
      <c r="J62" s="21" t="str">
        <f aca="false">IF(LEN(TRIM(G62))&gt;0,"yes","-")</f>
        <v>yes</v>
      </c>
    </row>
    <row r="63" customFormat="false" ht="15" hidden="false" customHeight="false" outlineLevel="0" collapsed="false">
      <c r="A63" s="18" t="s">
        <v>248</v>
      </c>
      <c r="B63" s="12" t="s">
        <v>230</v>
      </c>
      <c r="C63" s="12" t="s">
        <v>249</v>
      </c>
      <c r="D63" s="12" t="s">
        <v>65</v>
      </c>
      <c r="E63" s="12" t="s">
        <v>60</v>
      </c>
      <c r="F63" s="19" t="s">
        <v>61</v>
      </c>
      <c r="G63" s="20" t="s">
        <v>250</v>
      </c>
      <c r="H63" s="20"/>
      <c r="I63" s="20"/>
      <c r="J63" s="21" t="str">
        <f aca="false">IF(LEN(TRIM(G63))&gt;0,"yes","-")</f>
        <v>yes</v>
      </c>
    </row>
    <row r="64" customFormat="false" ht="15" hidden="false" customHeight="false" outlineLevel="0" collapsed="false">
      <c r="A64" s="18" t="s">
        <v>251</v>
      </c>
      <c r="B64" s="12" t="s">
        <v>230</v>
      </c>
      <c r="C64" s="12" t="s">
        <v>252</v>
      </c>
      <c r="D64" s="12" t="s">
        <v>59</v>
      </c>
      <c r="E64" s="12" t="s">
        <v>60</v>
      </c>
      <c r="F64" s="19" t="s">
        <v>200</v>
      </c>
      <c r="G64" s="20" t="s">
        <v>60</v>
      </c>
      <c r="H64" s="20"/>
      <c r="I64" s="20"/>
      <c r="J64" s="21" t="str">
        <f aca="false">IF(LEN(TRIM(G64))&gt;0,"yes","-")</f>
        <v>yes</v>
      </c>
    </row>
    <row r="65" customFormat="false" ht="15" hidden="false" customHeight="false" outlineLevel="0" collapsed="false">
      <c r="A65" s="18" t="s">
        <v>253</v>
      </c>
      <c r="B65" s="12" t="s">
        <v>254</v>
      </c>
      <c r="C65" s="12" t="s">
        <v>255</v>
      </c>
      <c r="D65" s="12" t="s">
        <v>65</v>
      </c>
      <c r="E65" s="12" t="s">
        <v>60</v>
      </c>
      <c r="F65" s="19" t="s">
        <v>61</v>
      </c>
      <c r="G65" s="20" t="s">
        <v>256</v>
      </c>
      <c r="H65" s="20"/>
      <c r="I65" s="20"/>
      <c r="J65" s="21" t="str">
        <f aca="false">IF(LEN(TRIM(G65))&gt;0,"yes","-")</f>
        <v>yes</v>
      </c>
    </row>
    <row r="66" customFormat="false" ht="23.85" hidden="false" customHeight="false" outlineLevel="0" collapsed="false">
      <c r="A66" s="18" t="s">
        <v>257</v>
      </c>
      <c r="B66" s="12" t="s">
        <v>254</v>
      </c>
      <c r="C66" s="12" t="s">
        <v>258</v>
      </c>
      <c r="D66" s="12" t="s">
        <v>59</v>
      </c>
      <c r="E66" s="12" t="s">
        <v>60</v>
      </c>
      <c r="F66" s="19" t="s">
        <v>61</v>
      </c>
      <c r="G66" s="20" t="s">
        <v>155</v>
      </c>
      <c r="H66" s="20"/>
      <c r="I66" s="20"/>
      <c r="J66" s="21" t="str">
        <f aca="false">IF(LEN(TRIM(G66))&gt;0,"yes","-")</f>
        <v>yes</v>
      </c>
    </row>
    <row r="67" customFormat="false" ht="15" hidden="false" customHeight="false" outlineLevel="0" collapsed="false">
      <c r="A67" s="18" t="s">
        <v>259</v>
      </c>
      <c r="B67" s="12" t="s">
        <v>254</v>
      </c>
      <c r="C67" s="12" t="s">
        <v>260</v>
      </c>
      <c r="D67" s="12" t="s">
        <v>59</v>
      </c>
      <c r="E67" s="12" t="s">
        <v>60</v>
      </c>
      <c r="F67" s="19" t="s">
        <v>61</v>
      </c>
      <c r="G67" s="20" t="s">
        <v>176</v>
      </c>
      <c r="H67" s="20"/>
      <c r="I67" s="20"/>
      <c r="J67" s="21" t="str">
        <f aca="false">IF(LEN(TRIM(G67))&gt;0,"yes","-")</f>
        <v>yes</v>
      </c>
    </row>
    <row r="68" customFormat="false" ht="15" hidden="false" customHeight="false" outlineLevel="0" collapsed="false">
      <c r="A68" s="18" t="s">
        <v>261</v>
      </c>
      <c r="B68" s="12" t="s">
        <v>254</v>
      </c>
      <c r="C68" s="12" t="s">
        <v>262</v>
      </c>
      <c r="D68" s="12" t="s">
        <v>59</v>
      </c>
      <c r="E68" s="12" t="s">
        <v>60</v>
      </c>
      <c r="F68" s="19" t="s">
        <v>61</v>
      </c>
      <c r="G68" s="20" t="s">
        <v>106</v>
      </c>
      <c r="H68" s="20"/>
      <c r="I68" s="20"/>
      <c r="J68" s="21" t="str">
        <f aca="false">IF(LEN(TRIM(G68))&gt;0,"yes","-")</f>
        <v>yes</v>
      </c>
    </row>
    <row r="69" customFormat="false" ht="15" hidden="false" customHeight="false" outlineLevel="0" collapsed="false">
      <c r="A69" s="18" t="s">
        <v>263</v>
      </c>
      <c r="B69" s="12" t="s">
        <v>254</v>
      </c>
      <c r="C69" s="12" t="s">
        <v>264</v>
      </c>
      <c r="D69" s="12" t="s">
        <v>59</v>
      </c>
      <c r="E69" s="12" t="s">
        <v>60</v>
      </c>
      <c r="F69" s="19" t="s">
        <v>61</v>
      </c>
      <c r="G69" s="20" t="s">
        <v>265</v>
      </c>
      <c r="H69" s="20"/>
      <c r="I69" s="20"/>
      <c r="J69" s="21" t="str">
        <f aca="false">IF(LEN(TRIM(G69))&gt;0,"yes","-")</f>
        <v>yes</v>
      </c>
    </row>
    <row r="70" customFormat="false" ht="15" hidden="false" customHeight="false" outlineLevel="0" collapsed="false">
      <c r="A70" s="18" t="s">
        <v>266</v>
      </c>
      <c r="B70" s="12" t="s">
        <v>254</v>
      </c>
      <c r="C70" s="12" t="s">
        <v>267</v>
      </c>
      <c r="D70" s="12" t="s">
        <v>59</v>
      </c>
      <c r="E70" s="12" t="s">
        <v>60</v>
      </c>
      <c r="F70" s="19" t="s">
        <v>61</v>
      </c>
      <c r="G70" s="20" t="s">
        <v>118</v>
      </c>
      <c r="H70" s="20"/>
      <c r="I70" s="20"/>
      <c r="J70" s="21" t="str">
        <f aca="false">IF(LEN(TRIM(G70))&gt;0,"yes","-")</f>
        <v>yes</v>
      </c>
    </row>
    <row r="71" customFormat="false" ht="15" hidden="false" customHeight="false" outlineLevel="0" collapsed="false">
      <c r="A71" s="18" t="s">
        <v>268</v>
      </c>
      <c r="B71" s="12" t="s">
        <v>269</v>
      </c>
      <c r="C71" s="12" t="s">
        <v>270</v>
      </c>
      <c r="D71" s="12" t="s">
        <v>65</v>
      </c>
      <c r="E71" s="12" t="s">
        <v>60</v>
      </c>
      <c r="F71" s="19" t="s">
        <v>61</v>
      </c>
      <c r="G71" s="20" t="s">
        <v>271</v>
      </c>
      <c r="H71" s="20"/>
      <c r="I71" s="20"/>
      <c r="J71" s="21" t="str">
        <f aca="false">IF(LEN(TRIM(G71))&gt;0,"yes","-")</f>
        <v>yes</v>
      </c>
    </row>
    <row r="72" customFormat="false" ht="23.85" hidden="false" customHeight="false" outlineLevel="0" collapsed="false">
      <c r="A72" s="18" t="s">
        <v>272</v>
      </c>
      <c r="B72" s="12" t="s">
        <v>269</v>
      </c>
      <c r="C72" s="12" t="s">
        <v>273</v>
      </c>
      <c r="D72" s="12" t="s">
        <v>59</v>
      </c>
      <c r="E72" s="12" t="s">
        <v>60</v>
      </c>
      <c r="F72" s="19" t="s">
        <v>61</v>
      </c>
      <c r="G72" s="20" t="s">
        <v>274</v>
      </c>
      <c r="H72" s="20"/>
      <c r="I72" s="20"/>
      <c r="J72" s="21" t="str">
        <f aca="false">IF(LEN(TRIM(G72))&gt;0,"yes","-")</f>
        <v>yes</v>
      </c>
    </row>
    <row r="73" customFormat="false" ht="15" hidden="false" customHeight="false" outlineLevel="0" collapsed="false">
      <c r="A73" s="18" t="s">
        <v>275</v>
      </c>
      <c r="B73" s="12" t="s">
        <v>269</v>
      </c>
      <c r="C73" s="12" t="s">
        <v>276</v>
      </c>
      <c r="D73" s="12" t="s">
        <v>59</v>
      </c>
      <c r="E73" s="12" t="s">
        <v>60</v>
      </c>
      <c r="F73" s="19" t="s">
        <v>61</v>
      </c>
      <c r="G73" s="20" t="s">
        <v>277</v>
      </c>
      <c r="H73" s="20"/>
      <c r="I73" s="20"/>
      <c r="J73" s="21" t="str">
        <f aca="false">IF(LEN(TRIM(G73))&gt;0,"yes","-")</f>
        <v>yes</v>
      </c>
    </row>
    <row r="74" customFormat="false" ht="15" hidden="false" customHeight="false" outlineLevel="0" collapsed="false">
      <c r="A74" s="18" t="s">
        <v>278</v>
      </c>
      <c r="B74" s="12" t="s">
        <v>269</v>
      </c>
      <c r="C74" s="12" t="s">
        <v>279</v>
      </c>
      <c r="D74" s="12" t="s">
        <v>59</v>
      </c>
      <c r="E74" s="12" t="s">
        <v>60</v>
      </c>
      <c r="F74" s="19" t="s">
        <v>61</v>
      </c>
      <c r="G74" s="20" t="s">
        <v>280</v>
      </c>
      <c r="H74" s="20"/>
      <c r="I74" s="20"/>
      <c r="J74" s="21" t="str">
        <f aca="false">IF(LEN(TRIM(G74))&gt;0,"yes","-")</f>
        <v>yes</v>
      </c>
    </row>
    <row r="75" customFormat="false" ht="15" hidden="false" customHeight="false" outlineLevel="0" collapsed="false">
      <c r="A75" s="18" t="s">
        <v>281</v>
      </c>
      <c r="B75" s="12" t="s">
        <v>269</v>
      </c>
      <c r="C75" s="12" t="s">
        <v>282</v>
      </c>
      <c r="D75" s="12" t="s">
        <v>59</v>
      </c>
      <c r="E75" s="12" t="s">
        <v>60</v>
      </c>
      <c r="F75" s="19" t="s">
        <v>61</v>
      </c>
      <c r="G75" s="20" t="s">
        <v>283</v>
      </c>
      <c r="H75" s="20"/>
      <c r="I75" s="20"/>
      <c r="J75" s="21" t="str">
        <f aca="false">IF(LEN(TRIM(G75))&gt;0,"yes","-")</f>
        <v>yes</v>
      </c>
    </row>
    <row r="76" customFormat="false" ht="15" hidden="false" customHeight="false" outlineLevel="0" collapsed="false">
      <c r="A76" s="18" t="s">
        <v>284</v>
      </c>
      <c r="B76" s="12" t="s">
        <v>269</v>
      </c>
      <c r="C76" s="12" t="s">
        <v>285</v>
      </c>
      <c r="D76" s="12" t="s">
        <v>59</v>
      </c>
      <c r="E76" s="12" t="s">
        <v>60</v>
      </c>
      <c r="F76" s="19" t="s">
        <v>286</v>
      </c>
      <c r="G76" s="20"/>
      <c r="H76" s="20"/>
      <c r="I76" s="20"/>
      <c r="J76" s="21" t="str">
        <f aca="false">IF(LEN(TRIM(G76))&gt;0,"yes","-")</f>
        <v>-</v>
      </c>
    </row>
    <row r="77" customFormat="false" ht="15" hidden="false" customHeight="false" outlineLevel="0" collapsed="false">
      <c r="A77" s="18" t="s">
        <v>287</v>
      </c>
      <c r="B77" s="12" t="s">
        <v>269</v>
      </c>
      <c r="C77" s="12" t="s">
        <v>288</v>
      </c>
      <c r="D77" s="12" t="s">
        <v>59</v>
      </c>
      <c r="E77" s="12" t="s">
        <v>60</v>
      </c>
      <c r="F77" s="19" t="s">
        <v>61</v>
      </c>
      <c r="G77" s="20" t="s">
        <v>289</v>
      </c>
      <c r="H77" s="20"/>
      <c r="I77" s="20"/>
      <c r="J77" s="21" t="str">
        <f aca="false">IF(LEN(TRIM(G77))&gt;0,"yes","-")</f>
        <v>yes</v>
      </c>
    </row>
    <row r="78" customFormat="false" ht="15" hidden="false" customHeight="false" outlineLevel="0" collapsed="false">
      <c r="A78" s="18" t="s">
        <v>290</v>
      </c>
      <c r="B78" s="12" t="s">
        <v>269</v>
      </c>
      <c r="C78" s="12" t="s">
        <v>291</v>
      </c>
      <c r="D78" s="12" t="s">
        <v>59</v>
      </c>
      <c r="E78" s="12" t="s">
        <v>60</v>
      </c>
      <c r="F78" s="19" t="s">
        <v>61</v>
      </c>
      <c r="G78" s="20" t="s">
        <v>292</v>
      </c>
      <c r="H78" s="20"/>
      <c r="I78" s="20"/>
      <c r="J78" s="21" t="str">
        <f aca="false">IF(LEN(TRIM(G78))&gt;0,"yes","-")</f>
        <v>yes</v>
      </c>
    </row>
    <row r="79" customFormat="false" ht="15" hidden="false" customHeight="false" outlineLevel="0" collapsed="false">
      <c r="A79" s="18" t="s">
        <v>293</v>
      </c>
      <c r="B79" s="12" t="s">
        <v>294</v>
      </c>
      <c r="C79" s="12" t="s">
        <v>295</v>
      </c>
      <c r="D79" s="12" t="s">
        <v>65</v>
      </c>
      <c r="E79" s="12" t="s">
        <v>60</v>
      </c>
      <c r="F79" s="19" t="s">
        <v>61</v>
      </c>
      <c r="G79" s="20" t="s">
        <v>296</v>
      </c>
      <c r="H79" s="20"/>
      <c r="I79" s="20"/>
      <c r="J79" s="21" t="str">
        <f aca="false">IF(LEN(TRIM(G79))&gt;0,"yes","-")</f>
        <v>yes</v>
      </c>
    </row>
    <row r="80" customFormat="false" ht="23.85" hidden="false" customHeight="false" outlineLevel="0" collapsed="false">
      <c r="A80" s="18" t="s">
        <v>297</v>
      </c>
      <c r="B80" s="12" t="s">
        <v>294</v>
      </c>
      <c r="C80" s="12" t="s">
        <v>298</v>
      </c>
      <c r="D80" s="12" t="s">
        <v>59</v>
      </c>
      <c r="E80" s="12" t="s">
        <v>60</v>
      </c>
      <c r="F80" s="19" t="s">
        <v>61</v>
      </c>
      <c r="G80" s="20" t="s">
        <v>299</v>
      </c>
      <c r="H80" s="20"/>
      <c r="I80" s="20"/>
      <c r="J80" s="21" t="str">
        <f aca="false">IF(LEN(TRIM(G80))&gt;0,"yes","-")</f>
        <v>yes</v>
      </c>
    </row>
    <row r="81" customFormat="false" ht="15" hidden="false" customHeight="false" outlineLevel="0" collapsed="false">
      <c r="A81" s="18" t="s">
        <v>300</v>
      </c>
      <c r="B81" s="12" t="s">
        <v>294</v>
      </c>
      <c r="C81" s="12" t="s">
        <v>301</v>
      </c>
      <c r="D81" s="12" t="s">
        <v>59</v>
      </c>
      <c r="E81" s="12" t="s">
        <v>60</v>
      </c>
      <c r="F81" s="19" t="s">
        <v>61</v>
      </c>
      <c r="G81" s="20" t="s">
        <v>302</v>
      </c>
      <c r="H81" s="20"/>
      <c r="I81" s="20"/>
      <c r="J81" s="21" t="str">
        <f aca="false">IF(LEN(TRIM(G81))&gt;0,"yes","-")</f>
        <v>yes</v>
      </c>
    </row>
    <row r="82" customFormat="false" ht="23.85" hidden="false" customHeight="false" outlineLevel="0" collapsed="false">
      <c r="A82" s="18" t="s">
        <v>303</v>
      </c>
      <c r="B82" s="12" t="s">
        <v>294</v>
      </c>
      <c r="C82" s="12" t="s">
        <v>304</v>
      </c>
      <c r="D82" s="12" t="s">
        <v>59</v>
      </c>
      <c r="E82" s="12" t="s">
        <v>60</v>
      </c>
      <c r="F82" s="19" t="s">
        <v>61</v>
      </c>
      <c r="G82" s="20" t="s">
        <v>305</v>
      </c>
      <c r="H82" s="20"/>
      <c r="I82" s="20"/>
      <c r="J82" s="21" t="str">
        <f aca="false">IF(LEN(TRIM(G82))&gt;0,"yes","-")</f>
        <v>yes</v>
      </c>
    </row>
    <row r="83" customFormat="false" ht="15" hidden="false" customHeight="false" outlineLevel="0" collapsed="false">
      <c r="A83" s="18" t="s">
        <v>306</v>
      </c>
      <c r="B83" s="12" t="s">
        <v>307</v>
      </c>
      <c r="C83" s="12" t="s">
        <v>308</v>
      </c>
      <c r="D83" s="12" t="s">
        <v>59</v>
      </c>
      <c r="E83" s="12" t="s">
        <v>60</v>
      </c>
      <c r="F83" s="19" t="s">
        <v>61</v>
      </c>
      <c r="G83" s="20" t="s">
        <v>79</v>
      </c>
      <c r="H83" s="20"/>
      <c r="I83" s="20"/>
      <c r="J83" s="21" t="str">
        <f aca="false">IF(LEN(TRIM(G83))&gt;0,"yes","-")</f>
        <v>yes</v>
      </c>
    </row>
    <row r="84" customFormat="false" ht="15" hidden="false" customHeight="false" outlineLevel="0" collapsed="false">
      <c r="A84" s="18" t="s">
        <v>309</v>
      </c>
      <c r="B84" s="12" t="s">
        <v>307</v>
      </c>
      <c r="C84" s="12" t="s">
        <v>310</v>
      </c>
      <c r="D84" s="12" t="s">
        <v>59</v>
      </c>
      <c r="E84" s="12" t="s">
        <v>60</v>
      </c>
      <c r="F84" s="19" t="s">
        <v>61</v>
      </c>
      <c r="G84" s="20" t="s">
        <v>311</v>
      </c>
      <c r="H84" s="20"/>
      <c r="I84" s="20"/>
      <c r="J84" s="21" t="str">
        <f aca="false">IF(LEN(TRIM(G84))&gt;0,"yes","-")</f>
        <v>yes</v>
      </c>
    </row>
    <row r="85" customFormat="false" ht="15" hidden="false" customHeight="false" outlineLevel="0" collapsed="false">
      <c r="A85" s="18" t="s">
        <v>312</v>
      </c>
      <c r="B85" s="12" t="s">
        <v>307</v>
      </c>
      <c r="C85" s="12" t="s">
        <v>313</v>
      </c>
      <c r="D85" s="12" t="s">
        <v>59</v>
      </c>
      <c r="E85" s="12" t="s">
        <v>60</v>
      </c>
      <c r="F85" s="19" t="s">
        <v>61</v>
      </c>
      <c r="G85" s="20" t="s">
        <v>314</v>
      </c>
      <c r="H85" s="20"/>
      <c r="I85" s="20"/>
      <c r="J85" s="21" t="str">
        <f aca="false">IF(LEN(TRIM(G85))&gt;0,"yes","-")</f>
        <v>yes</v>
      </c>
    </row>
    <row r="86" customFormat="false" ht="15" hidden="false" customHeight="false" outlineLevel="0" collapsed="false">
      <c r="A86" s="18" t="s">
        <v>315</v>
      </c>
      <c r="B86" s="12" t="s">
        <v>307</v>
      </c>
      <c r="C86" s="12" t="s">
        <v>316</v>
      </c>
      <c r="D86" s="12" t="s">
        <v>59</v>
      </c>
      <c r="E86" s="12" t="s">
        <v>60</v>
      </c>
      <c r="F86" s="19" t="s">
        <v>61</v>
      </c>
      <c r="G86" s="20" t="s">
        <v>317</v>
      </c>
      <c r="H86" s="20"/>
      <c r="I86" s="20"/>
      <c r="J86" s="21" t="str">
        <f aca="false">IF(LEN(TRIM(G86))&gt;0,"yes","-")</f>
        <v>yes</v>
      </c>
    </row>
    <row r="87" customFormat="false" ht="23.85" hidden="false" customHeight="false" outlineLevel="0" collapsed="false">
      <c r="A87" s="18" t="s">
        <v>318</v>
      </c>
      <c r="B87" s="12" t="s">
        <v>307</v>
      </c>
      <c r="C87" s="12" t="s">
        <v>319</v>
      </c>
      <c r="D87" s="12" t="s">
        <v>59</v>
      </c>
      <c r="E87" s="12" t="s">
        <v>60</v>
      </c>
      <c r="F87" s="19" t="s">
        <v>61</v>
      </c>
      <c r="G87" s="20" t="s">
        <v>205</v>
      </c>
      <c r="H87" s="20"/>
      <c r="I87" s="20"/>
      <c r="J87" s="21" t="str">
        <f aca="false">IF(LEN(TRIM(G87))&gt;0,"yes","-")</f>
        <v>yes</v>
      </c>
    </row>
    <row r="88" customFormat="false" ht="15" hidden="false" customHeight="false" outlineLevel="0" collapsed="false">
      <c r="A88" s="18" t="s">
        <v>320</v>
      </c>
      <c r="B88" s="12" t="s">
        <v>307</v>
      </c>
      <c r="C88" s="12" t="s">
        <v>321</v>
      </c>
      <c r="D88" s="12" t="s">
        <v>59</v>
      </c>
      <c r="E88" s="12" t="s">
        <v>60</v>
      </c>
      <c r="F88" s="19" t="s">
        <v>61</v>
      </c>
      <c r="G88" s="20" t="s">
        <v>322</v>
      </c>
      <c r="H88" s="20"/>
      <c r="I88" s="20"/>
      <c r="J88" s="21" t="str">
        <f aca="false">IF(LEN(TRIM(G88))&gt;0,"yes","-")</f>
        <v>yes</v>
      </c>
    </row>
    <row r="89" customFormat="false" ht="15" hidden="false" customHeight="false" outlineLevel="0" collapsed="false">
      <c r="A89" s="18" t="s">
        <v>323</v>
      </c>
      <c r="B89" s="12" t="s">
        <v>307</v>
      </c>
      <c r="C89" s="12" t="s">
        <v>324</v>
      </c>
      <c r="D89" s="12" t="s">
        <v>59</v>
      </c>
      <c r="E89" s="12" t="s">
        <v>60</v>
      </c>
      <c r="F89" s="19" t="s">
        <v>61</v>
      </c>
      <c r="G89" s="20" t="s">
        <v>325</v>
      </c>
      <c r="H89" s="20"/>
      <c r="I89" s="20"/>
      <c r="J89" s="21" t="str">
        <f aca="false">IF(LEN(TRIM(G89))&gt;0,"yes","-")</f>
        <v>yes</v>
      </c>
    </row>
    <row r="90" customFormat="false" ht="15" hidden="false" customHeight="false" outlineLevel="0" collapsed="false">
      <c r="A90" s="18" t="s">
        <v>326</v>
      </c>
      <c r="B90" s="12" t="s">
        <v>307</v>
      </c>
      <c r="C90" s="12" t="s">
        <v>327</v>
      </c>
      <c r="D90" s="12" t="s">
        <v>59</v>
      </c>
      <c r="E90" s="12" t="s">
        <v>60</v>
      </c>
      <c r="F90" s="19" t="s">
        <v>61</v>
      </c>
      <c r="G90" s="20" t="s">
        <v>328</v>
      </c>
      <c r="H90" s="20"/>
      <c r="I90" s="20"/>
      <c r="J90" s="21" t="str">
        <f aca="false">IF(LEN(TRIM(G90))&gt;0,"yes","-")</f>
        <v>yes</v>
      </c>
    </row>
    <row r="91" customFormat="false" ht="15" hidden="false" customHeight="false" outlineLevel="0" collapsed="false">
      <c r="A91" s="18" t="s">
        <v>329</v>
      </c>
      <c r="B91" s="12" t="s">
        <v>307</v>
      </c>
      <c r="C91" s="12" t="s">
        <v>330</v>
      </c>
      <c r="D91" s="12" t="s">
        <v>59</v>
      </c>
      <c r="E91" s="12" t="s">
        <v>60</v>
      </c>
      <c r="F91" s="19" t="s">
        <v>61</v>
      </c>
      <c r="G91" s="20" t="s">
        <v>331</v>
      </c>
      <c r="H91" s="20"/>
      <c r="I91" s="20"/>
      <c r="J91" s="21" t="str">
        <f aca="false">IF(LEN(TRIM(G91))&gt;0,"yes","-")</f>
        <v>yes</v>
      </c>
    </row>
    <row r="92" customFormat="false" ht="15" hidden="false" customHeight="false" outlineLevel="0" collapsed="false">
      <c r="A92" s="18" t="s">
        <v>332</v>
      </c>
      <c r="B92" s="12" t="s">
        <v>307</v>
      </c>
      <c r="C92" s="12" t="s">
        <v>333</v>
      </c>
      <c r="D92" s="12" t="s">
        <v>59</v>
      </c>
      <c r="E92" s="12" t="s">
        <v>60</v>
      </c>
      <c r="F92" s="19" t="s">
        <v>61</v>
      </c>
      <c r="G92" s="20" t="s">
        <v>334</v>
      </c>
      <c r="H92" s="20"/>
      <c r="I92" s="20"/>
      <c r="J92" s="21" t="str">
        <f aca="false">IF(LEN(TRIM(G92))&gt;0,"yes","-")</f>
        <v>yes</v>
      </c>
    </row>
    <row r="93" customFormat="false" ht="15" hidden="false" customHeight="false" outlineLevel="0" collapsed="false">
      <c r="A93" s="18" t="s">
        <v>335</v>
      </c>
      <c r="B93" s="12" t="s">
        <v>307</v>
      </c>
      <c r="C93" s="12" t="s">
        <v>336</v>
      </c>
      <c r="D93" s="12" t="s">
        <v>59</v>
      </c>
      <c r="E93" s="12" t="s">
        <v>60</v>
      </c>
      <c r="F93" s="19" t="s">
        <v>61</v>
      </c>
      <c r="G93" s="20" t="s">
        <v>337</v>
      </c>
      <c r="H93" s="20"/>
      <c r="I93" s="20"/>
      <c r="J93" s="21" t="str">
        <f aca="false">IF(LEN(TRIM(G93))&gt;0,"yes","-")</f>
        <v>yes</v>
      </c>
    </row>
    <row r="94" customFormat="false" ht="15" hidden="false" customHeight="false" outlineLevel="0" collapsed="false">
      <c r="A94" s="18" t="s">
        <v>338</v>
      </c>
      <c r="B94" s="12" t="s">
        <v>339</v>
      </c>
      <c r="C94" s="12" t="s">
        <v>340</v>
      </c>
      <c r="D94" s="12" t="s">
        <v>59</v>
      </c>
      <c r="E94" s="12" t="s">
        <v>60</v>
      </c>
      <c r="F94" s="19" t="s">
        <v>341</v>
      </c>
      <c r="G94" s="20"/>
      <c r="H94" s="20"/>
      <c r="I94" s="20"/>
      <c r="J94" s="21" t="str">
        <f aca="false">IF(LEN(TRIM(G94))&gt;0,"yes","-")</f>
        <v>-</v>
      </c>
    </row>
    <row r="95" customFormat="false" ht="23.85" hidden="false" customHeight="false" outlineLevel="0" collapsed="false">
      <c r="A95" s="18" t="s">
        <v>342</v>
      </c>
      <c r="B95" s="12" t="s">
        <v>339</v>
      </c>
      <c r="C95" s="12" t="s">
        <v>343</v>
      </c>
      <c r="D95" s="12" t="s">
        <v>59</v>
      </c>
      <c r="E95" s="12" t="s">
        <v>60</v>
      </c>
      <c r="F95" s="19" t="s">
        <v>341</v>
      </c>
      <c r="G95" s="20"/>
      <c r="H95" s="20"/>
      <c r="I95" s="20"/>
      <c r="J95" s="21" t="str">
        <f aca="false">IF(LEN(TRIM(G95))&gt;0,"yes","-")</f>
        <v>-</v>
      </c>
    </row>
    <row r="96" customFormat="false" ht="15" hidden="false" customHeight="false" outlineLevel="0" collapsed="false">
      <c r="A96" s="18" t="s">
        <v>344</v>
      </c>
      <c r="B96" s="12" t="s">
        <v>339</v>
      </c>
      <c r="C96" s="12" t="s">
        <v>345</v>
      </c>
      <c r="D96" s="12" t="s">
        <v>59</v>
      </c>
      <c r="E96" s="12" t="s">
        <v>60</v>
      </c>
      <c r="F96" s="19" t="s">
        <v>341</v>
      </c>
      <c r="G96" s="20"/>
      <c r="H96" s="20"/>
      <c r="I96" s="20"/>
      <c r="J96" s="21" t="str">
        <f aca="false">IF(LEN(TRIM(G96))&gt;0,"yes","-")</f>
        <v>-</v>
      </c>
    </row>
    <row r="97" customFormat="false" ht="15" hidden="false" customHeight="false" outlineLevel="0" collapsed="false">
      <c r="A97" s="18" t="s">
        <v>346</v>
      </c>
      <c r="B97" s="12" t="s">
        <v>339</v>
      </c>
      <c r="C97" s="12" t="s">
        <v>347</v>
      </c>
      <c r="D97" s="12" t="s">
        <v>59</v>
      </c>
      <c r="E97" s="12" t="s">
        <v>60</v>
      </c>
      <c r="F97" s="19" t="s">
        <v>341</v>
      </c>
      <c r="G97" s="20"/>
      <c r="H97" s="20"/>
      <c r="I97" s="20"/>
      <c r="J97" s="21" t="str">
        <f aca="false">IF(LEN(TRIM(G97))&gt;0,"yes","-")</f>
        <v>-</v>
      </c>
    </row>
    <row r="98" customFormat="false" ht="15" hidden="false" customHeight="false" outlineLevel="0" collapsed="false">
      <c r="A98" s="18" t="s">
        <v>348</v>
      </c>
      <c r="B98" s="12" t="s">
        <v>339</v>
      </c>
      <c r="C98" s="12" t="s">
        <v>349</v>
      </c>
      <c r="D98" s="12" t="s">
        <v>59</v>
      </c>
      <c r="E98" s="12" t="s">
        <v>60</v>
      </c>
      <c r="F98" s="19" t="s">
        <v>350</v>
      </c>
      <c r="G98" s="20"/>
      <c r="H98" s="20"/>
      <c r="I98" s="20"/>
      <c r="J98" s="21" t="str">
        <f aca="false">IF(LEN(TRIM(G98))&gt;0,"yes","-")</f>
        <v>-</v>
      </c>
    </row>
    <row r="99" customFormat="false" ht="15" hidden="false" customHeight="false" outlineLevel="0" collapsed="false">
      <c r="A99" s="18" t="s">
        <v>351</v>
      </c>
      <c r="B99" s="12" t="s">
        <v>339</v>
      </c>
      <c r="C99" s="12" t="s">
        <v>352</v>
      </c>
      <c r="D99" s="12" t="s">
        <v>59</v>
      </c>
      <c r="E99" s="12" t="s">
        <v>60</v>
      </c>
      <c r="F99" s="19" t="s">
        <v>350</v>
      </c>
      <c r="G99" s="20"/>
      <c r="H99" s="20"/>
      <c r="I99" s="20"/>
      <c r="J99" s="21" t="str">
        <f aca="false">IF(LEN(TRIM(G99))&gt;0,"yes","-")</f>
        <v>-</v>
      </c>
    </row>
    <row r="100" customFormat="false" ht="15" hidden="false" customHeight="false" outlineLevel="0" collapsed="false">
      <c r="A100" s="18" t="s">
        <v>353</v>
      </c>
      <c r="B100" s="12" t="s">
        <v>339</v>
      </c>
      <c r="C100" s="12" t="s">
        <v>354</v>
      </c>
      <c r="D100" s="12" t="s">
        <v>59</v>
      </c>
      <c r="E100" s="12" t="s">
        <v>60</v>
      </c>
      <c r="F100" s="19" t="s">
        <v>350</v>
      </c>
      <c r="G100" s="20"/>
      <c r="H100" s="20"/>
      <c r="I100" s="20"/>
      <c r="J100" s="21" t="str">
        <f aca="false">IF(LEN(TRIM(G100))&gt;0,"yes","-")</f>
        <v>-</v>
      </c>
    </row>
    <row r="101" customFormat="false" ht="15" hidden="false" customHeight="false" outlineLevel="0" collapsed="false">
      <c r="A101" s="18" t="s">
        <v>355</v>
      </c>
      <c r="B101" s="12" t="s">
        <v>339</v>
      </c>
      <c r="C101" s="12" t="s">
        <v>356</v>
      </c>
      <c r="D101" s="12" t="s">
        <v>59</v>
      </c>
      <c r="E101" s="12" t="s">
        <v>60</v>
      </c>
      <c r="F101" s="19" t="s">
        <v>350</v>
      </c>
      <c r="G101" s="20"/>
      <c r="H101" s="20"/>
      <c r="I101" s="20"/>
      <c r="J101" s="21" t="str">
        <f aca="false">IF(LEN(TRIM(G101))&gt;0,"yes","-")</f>
        <v>-</v>
      </c>
    </row>
    <row r="102" customFormat="false" ht="22.35" hidden="false" customHeight="false" outlineLevel="0" collapsed="false">
      <c r="A102" s="18" t="s">
        <v>357</v>
      </c>
      <c r="B102" s="12" t="s">
        <v>339</v>
      </c>
      <c r="C102" s="12" t="s">
        <v>358</v>
      </c>
      <c r="D102" s="12" t="s">
        <v>59</v>
      </c>
      <c r="E102" s="12" t="s">
        <v>60</v>
      </c>
      <c r="F102" s="19" t="s">
        <v>359</v>
      </c>
      <c r="G102" s="20" t="s">
        <v>360</v>
      </c>
      <c r="H102" s="20"/>
      <c r="I102" s="20"/>
      <c r="J102" s="21" t="str">
        <f aca="false">IF(LEN(TRIM(G102))&gt;0,"yes","-")</f>
        <v>yes</v>
      </c>
    </row>
    <row r="103" customFormat="false" ht="22.35" hidden="false" customHeight="false" outlineLevel="0" collapsed="false">
      <c r="A103" s="18" t="s">
        <v>361</v>
      </c>
      <c r="B103" s="12" t="s">
        <v>339</v>
      </c>
      <c r="C103" s="12" t="s">
        <v>362</v>
      </c>
      <c r="D103" s="12" t="s">
        <v>59</v>
      </c>
      <c r="E103" s="12" t="s">
        <v>60</v>
      </c>
      <c r="F103" s="19" t="s">
        <v>359</v>
      </c>
      <c r="G103" s="20" t="s">
        <v>363</v>
      </c>
      <c r="H103" s="20"/>
      <c r="I103" s="20"/>
      <c r="J103" s="21" t="str">
        <f aca="false">IF(LEN(TRIM(G103))&gt;0,"yes","-")</f>
        <v>yes</v>
      </c>
    </row>
    <row r="104" customFormat="false" ht="22.35" hidden="false" customHeight="false" outlineLevel="0" collapsed="false">
      <c r="A104" s="18" t="s">
        <v>364</v>
      </c>
      <c r="B104" s="12" t="s">
        <v>339</v>
      </c>
      <c r="C104" s="12" t="s">
        <v>365</v>
      </c>
      <c r="D104" s="12" t="s">
        <v>59</v>
      </c>
      <c r="E104" s="12" t="s">
        <v>60</v>
      </c>
      <c r="F104" s="19" t="s">
        <v>359</v>
      </c>
      <c r="G104" s="20" t="s">
        <v>366</v>
      </c>
      <c r="H104" s="20"/>
      <c r="I104" s="20"/>
      <c r="J104" s="21" t="str">
        <f aca="false">IF(LEN(TRIM(G104))&gt;0,"yes","-")</f>
        <v>yes</v>
      </c>
    </row>
    <row r="105" customFormat="false" ht="15" hidden="false" customHeight="false" outlineLevel="0" collapsed="false">
      <c r="A105" s="18" t="s">
        <v>367</v>
      </c>
      <c r="B105" s="12" t="s">
        <v>339</v>
      </c>
      <c r="C105" s="12" t="s">
        <v>368</v>
      </c>
      <c r="D105" s="12" t="s">
        <v>59</v>
      </c>
      <c r="E105" s="12" t="s">
        <v>60</v>
      </c>
      <c r="F105" s="19" t="s">
        <v>369</v>
      </c>
      <c r="G105" s="20"/>
      <c r="H105" s="20"/>
      <c r="I105" s="20"/>
      <c r="J105" s="21" t="str">
        <f aca="false">IF(LEN(TRIM(G105))&gt;0,"yes","-")</f>
        <v>-</v>
      </c>
    </row>
    <row r="106" customFormat="false" ht="15" hidden="false" customHeight="false" outlineLevel="0" collapsed="false">
      <c r="A106" s="18" t="s">
        <v>370</v>
      </c>
      <c r="B106" s="12" t="s">
        <v>339</v>
      </c>
      <c r="C106" s="12" t="s">
        <v>371</v>
      </c>
      <c r="D106" s="12" t="s">
        <v>59</v>
      </c>
      <c r="E106" s="12" t="s">
        <v>60</v>
      </c>
      <c r="F106" s="19" t="s">
        <v>369</v>
      </c>
      <c r="G106" s="20"/>
      <c r="H106" s="20"/>
      <c r="I106" s="20"/>
      <c r="J106" s="21" t="str">
        <f aca="false">IF(LEN(TRIM(G106))&gt;0,"yes","-")</f>
        <v>-</v>
      </c>
    </row>
    <row r="107" customFormat="false" ht="15" hidden="false" customHeight="false" outlineLevel="0" collapsed="false">
      <c r="A107" s="18" t="s">
        <v>372</v>
      </c>
      <c r="B107" s="12" t="s">
        <v>339</v>
      </c>
      <c r="C107" s="12" t="s">
        <v>373</v>
      </c>
      <c r="D107" s="12" t="s">
        <v>59</v>
      </c>
      <c r="E107" s="12" t="s">
        <v>60</v>
      </c>
      <c r="F107" s="19" t="s">
        <v>369</v>
      </c>
      <c r="G107" s="20"/>
      <c r="H107" s="20"/>
      <c r="I107" s="20"/>
      <c r="J107" s="21" t="str">
        <f aca="false">IF(LEN(TRIM(G107))&gt;0,"yes","-")</f>
        <v>-</v>
      </c>
    </row>
    <row r="108" customFormat="false" ht="15" hidden="false" customHeight="false" outlineLevel="0" collapsed="false">
      <c r="A108" s="18" t="s">
        <v>374</v>
      </c>
      <c r="B108" s="12" t="s">
        <v>339</v>
      </c>
      <c r="C108" s="12" t="s">
        <v>375</v>
      </c>
      <c r="D108" s="12" t="s">
        <v>59</v>
      </c>
      <c r="E108" s="12" t="s">
        <v>60</v>
      </c>
      <c r="F108" s="19" t="s">
        <v>376</v>
      </c>
      <c r="G108" s="20"/>
      <c r="H108" s="20"/>
      <c r="I108" s="20"/>
      <c r="J108" s="21" t="str">
        <f aca="false">IF(LEN(TRIM(G108))&gt;0,"yes","-")</f>
        <v>-</v>
      </c>
    </row>
    <row r="109" customFormat="false" ht="23.85" hidden="false" customHeight="false" outlineLevel="0" collapsed="false">
      <c r="A109" s="18" t="s">
        <v>377</v>
      </c>
      <c r="B109" s="12" t="s">
        <v>339</v>
      </c>
      <c r="C109" s="12" t="s">
        <v>378</v>
      </c>
      <c r="D109" s="12" t="s">
        <v>59</v>
      </c>
      <c r="E109" s="12" t="s">
        <v>60</v>
      </c>
      <c r="F109" s="19" t="s">
        <v>376</v>
      </c>
      <c r="G109" s="20"/>
      <c r="H109" s="20"/>
      <c r="I109" s="20"/>
      <c r="J109" s="21" t="str">
        <f aca="false">IF(LEN(TRIM(G109))&gt;0,"yes","-")</f>
        <v>-</v>
      </c>
    </row>
    <row r="110" customFormat="false" ht="15" hidden="false" customHeight="false" outlineLevel="0" collapsed="false">
      <c r="A110" s="18" t="s">
        <v>379</v>
      </c>
      <c r="B110" s="12" t="s">
        <v>339</v>
      </c>
      <c r="C110" s="12" t="s">
        <v>380</v>
      </c>
      <c r="D110" s="12" t="s">
        <v>59</v>
      </c>
      <c r="E110" s="12" t="s">
        <v>60</v>
      </c>
      <c r="F110" s="19" t="s">
        <v>381</v>
      </c>
      <c r="G110" s="20"/>
      <c r="H110" s="20"/>
      <c r="I110" s="20"/>
      <c r="J110" s="21" t="str">
        <f aca="false">IF(LEN(TRIM(G110))&gt;0,"yes","-")</f>
        <v>-</v>
      </c>
    </row>
    <row r="111" customFormat="false" ht="15" hidden="false" customHeight="false" outlineLevel="0" collapsed="false">
      <c r="A111" s="18" t="s">
        <v>382</v>
      </c>
      <c r="B111" s="12" t="s">
        <v>339</v>
      </c>
      <c r="C111" s="12" t="s">
        <v>383</v>
      </c>
      <c r="D111" s="12" t="s">
        <v>59</v>
      </c>
      <c r="E111" s="12" t="s">
        <v>60</v>
      </c>
      <c r="F111" s="19" t="s">
        <v>381</v>
      </c>
      <c r="G111" s="20"/>
      <c r="H111" s="20"/>
      <c r="I111" s="20"/>
      <c r="J111" s="21" t="str">
        <f aca="false">IF(LEN(TRIM(G111))&gt;0,"yes","-")</f>
        <v>-</v>
      </c>
    </row>
    <row r="112" customFormat="false" ht="15" hidden="false" customHeight="false" outlineLevel="0" collapsed="false">
      <c r="A112" s="18" t="s">
        <v>384</v>
      </c>
      <c r="B112" s="12" t="s">
        <v>339</v>
      </c>
      <c r="C112" s="12" t="s">
        <v>385</v>
      </c>
      <c r="D112" s="12" t="s">
        <v>59</v>
      </c>
      <c r="E112" s="12" t="s">
        <v>60</v>
      </c>
      <c r="F112" s="19" t="s">
        <v>386</v>
      </c>
      <c r="G112" s="20"/>
      <c r="H112" s="20"/>
      <c r="I112" s="20"/>
      <c r="J112" s="21" t="str">
        <f aca="false">IF(LEN(TRIM(G112))&gt;0,"yes","-")</f>
        <v>-</v>
      </c>
    </row>
    <row r="113" customFormat="false" ht="15" hidden="false" customHeight="false" outlineLevel="0" collapsed="false">
      <c r="A113" s="18" t="s">
        <v>387</v>
      </c>
      <c r="B113" s="12" t="s">
        <v>339</v>
      </c>
      <c r="C113" s="12" t="s">
        <v>388</v>
      </c>
      <c r="D113" s="12" t="s">
        <v>59</v>
      </c>
      <c r="E113" s="12" t="s">
        <v>60</v>
      </c>
      <c r="F113" s="19" t="s">
        <v>386</v>
      </c>
      <c r="G113" s="20"/>
      <c r="H113" s="20"/>
      <c r="I113" s="20"/>
      <c r="J113" s="21" t="str">
        <f aca="false">IF(LEN(TRIM(G113))&gt;0,"yes","-")</f>
        <v>-</v>
      </c>
    </row>
    <row r="114" customFormat="false" ht="15" hidden="false" customHeight="false" outlineLevel="0" collapsed="false">
      <c r="A114" s="18" t="s">
        <v>389</v>
      </c>
      <c r="B114" s="12" t="s">
        <v>339</v>
      </c>
      <c r="C114" s="12" t="s">
        <v>390</v>
      </c>
      <c r="D114" s="12" t="s">
        <v>59</v>
      </c>
      <c r="E114" s="12" t="s">
        <v>60</v>
      </c>
      <c r="F114" s="19" t="s">
        <v>391</v>
      </c>
      <c r="G114" s="20"/>
      <c r="H114" s="20"/>
      <c r="I114" s="20"/>
      <c r="J114" s="21" t="str">
        <f aca="false">IF(LEN(TRIM(G114))&gt;0,"yes","-")</f>
        <v>-</v>
      </c>
    </row>
  </sheetData>
  <autoFilter ref="A1:J114"/>
  <dataValidations count="97">
    <dataValidation allowBlank="true" error="Use one of the codes listed in the Question bank sheet, or &quot;other&quot;." errorStyle="stop" errorTitle="Unknown answer code" operator="between" showDropDown="false" showErrorMessage="false" showInputMessage="false" sqref="G2" type="list">
      <formula1>"fintech,health,b2bsaas,commerce,logistics,edu,gov,internal,social,devtool,other"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 type="list">
      <formula1>"single,shared,schema,hybrid,unsure,other"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 type="list">
      <formula1>"money,safety,legal,reput,incon,other"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7" type="list">
      <formula1>"tiny,small,mid,large,huge,unk,other"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 type="list">
      <formula1>"readheavy,balanced,writeheavy,bursty,other"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 type="list">
      <formula1>"p1,p2,p3,p4,p5,other"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 type="list">
      <formula1>"dominant,secondary,no,other"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1" type="list">
      <formula1>"fixed,mostly,percust,poly,other"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2" type="list">
      <formula1>"one,region,multi,global,other"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3" type="list">
      <formula1>"none,prefix,fts,rich,vector,other"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4" type="list">
      <formula1>"none,light,heavy,wh,other"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5" type="list">
      <formula1>"strict,rc,eventual,unsure,other"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6" type="list">
      <formula1>"no,degraded,full,other"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8" type="list">
      <formula1>"ssoforced,domain,invite,same,mixed,other"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9" type="list">
      <formula1>"no,oidc,saml,both,later,other"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20" type="list">
      <formula1>"ial0,ial1,ial2,ial3,derived,other"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21" type="list">
      <formula1>"self,invite,both,prov,approve,other"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22" type="list">
      <formula1>"one,roles,pertenant,sep,nolimit,other"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25" type="list">
      <formula1>"no,self,band,exact,other"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26" type="list">
      <formula1>"aal1,aal2,aal2p,aal3,other"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27" type="list">
      <formula1>"same,aal2,aal2p,aal3,other"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29" type="list">
      <formula1>"emaillink,sms,codes,second,helpdesk,admin,none,other"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30" type="list">
      <formula1>"short,day,weeks,forever,other"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31" type="list">
      <formula1>"15m,30m,day,same,other"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32" type="list">
      <formula1>"no,known,list,managed,other"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34" type="list">
      <formula1>"low,med,high,other"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37" type="list">
      <formula1>"no,org,opt,public,other"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38" type="list">
      <formula1>"no,token,bank,pan,other"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39" type="list">
      <formula1>"no,flat,nested,multi,other"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0" type="list">
      <formula1>"no,plan,seat,meter,flags,other"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1" type="list">
      <formula1>"no,react,pre,both,other"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3" type="list">
      <formula1>"flat,fixed,arb,multi,other"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4" type="list">
      <formula1>"current,hist,future,other"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5" type="list">
      <formula1>"no,primary,many,cover,other"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6" type="list">
      <formula1>"no,legal,intl,other"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7" type="list">
      <formula1>"no,flat,deep,group,other"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8" type="list">
      <formula1>"r1,r2,r3,r4,r5,other"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49" type="list">
      <formula1>"manual,derived,request,idp,mixed,other"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0" type="list">
      <formula1>"global,own,inherit,explicit,object,other"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1" type="list">
      <formula1>"no,jit,cover,emerg,other"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3" type="list">
      <formula1>"no,soft,hard,other"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4" type="list">
      <formula1>"no,pin,full,other"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5" type="list">
      <formula1>"no,cached,queue,other"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6" type="list">
      <formula1>"no,date,sponsor,other"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7" type="list">
      <formula1>"fixed,catalog,delta,pertenant,later,other"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8" type="list">
      <formula1>"any,subset,explicit,approve,scoped,other"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59" type="list">
      <formula1>"person,break,dual,none,other"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60" type="list">
      <formula1>"no,readonly,consent,logged,unrestricted,other"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62" type="list">
      <formula1>"no,informal,periodic,evented,other"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64" type="list">
      <formula1>"no,yes,partial,partner,other"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66" type="list">
      <formula1>"no,list,both,audit,other"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67" type="list">
      <formula1>"none,named,link,orgwide,nested,other"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68" type="list">
      <formula1>"no,block,legal,temp,other"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69" type="list">
      <formula1>"sub1,ms10,ms50,lax,other"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70" type="list">
      <formula1>"db,app,svc,both,unsure,other"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72" type="list">
      <formula1>"no,simple,purpose,versioned,other"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73" type="list">
      <formula1>"no,soft,anon,hard,crypto,other"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74" type="list">
      <formula1>"no,contract,law,transfer,unsure,other"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75" type="list">
      <formula1>"short,y1,y6,y10,perm,mixed,other"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76" type="list">
      <formula1>"block,parent,school,reduced,other"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77" type="list">
      <formula1>"yes,partly,no,other"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78" type="list">
      <formula1>"no,few,many,share,other"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0" type="list">
      <formula1>"d90,y1,y6,y7,perm,other"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1" type="list">
      <formula1>"no,append,offbox,crypto,other"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2" type="list">
      <formula1>"no,rare,routine,contract,other"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3" type="list">
      <formula1>"solo,small,plat,dba,other"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4" type="list">
      <formula1>"managed,vm,k8s,serverless,onprem,hybrid,other"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5" type="list">
      <formula1>"aws,gcp,azure,other,own,undecided,other"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6" type="list">
      <formula1>"a1,a2,a3,a4,other"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7" type="list">
      <formula1>"r1,r2,r3,r4,other"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8" type="list">
      <formula1>"ts,py,go,rust,jvm,dotnet,ruby,php,elixir,mixed,other"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89" type="list">
      <formula1>"full,light,sql,mixed,open,other"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0" type="list">
      <formula1>"auto,gen,hand,expand,none,other"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1" type="list">
      <formula1>"tight,normal,flex,other"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2" type="list">
      <formula1>"weeks,q,half,live,other"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3" type="list">
      <formula1>"build,buy,buysso,open,other"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4" type="list">
      <formula1>"balance,ledger,ledgerbal,external,other"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5" type="list">
      <formula1>"no,role,tier,both,other"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6" type="list">
      <formula1>"one,few,many,na,other"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7" type="list">
      <formula1>"no,daily,rt,other"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8" type="list">
      <formula1>"role,care,unit,combo,other"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99" type="list">
      <formula1>"no,break,dual,other"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0" type="list">
      <formula1>"none,global,org,fine,other"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1" type="list">
      <formula1>"no,fhir,hl7v2,files,other"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2" type="list">
      <formula1>"even,x10,x100,unk,other"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3" type="list">
      <formula1>"no,guest,cross,other"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4" type="list">
      <formula1>"manual,self,contract,notyet,other"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5" type="list">
      <formula1>"none,single,multi,thirdparty,other"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6" type="list">
      <formula1>"no,pos,both,other"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7" type="list">
      <formula1>"no,yes,mixed,other"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8" type="list">
      <formula1>"na,track,block,other"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09" type="list">
      <formula1>"no,low,high,other"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10" type="list">
      <formula1>"no,term,course,other"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11" type="list">
      <formula1>"no,view,act,age,other"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12" type="list">
      <formula1>"no,sched,arch,other"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13" type="list">
      <formula1>"no,foi,open,other"</formula1>
      <formula2>0</formula2>
    </dataValidation>
    <dataValidation allowBlank="true" error="Use one of the codes listed in the Question bank sheet, or &quot;other&quot;." errorStyle="stop" errorTitle="Unknown answer code" operator="between" showDropDown="false" showErrorMessage="false" showInputMessage="false" sqref="G114" type="list">
      <formula1>"light,team,comm,auto,other"</formula1>
      <formula2>0</formula2>
    </dataValidation>
  </dataValidations>
  <printOptions headings="false" gridLines="false" gridLinesSet="true" horizontalCentered="fals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&amp;LAnswers&amp;R&amp;P /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40"/>
    <col collapsed="false" customWidth="true" hidden="false" outlineLevel="0" max="6" min="5" style="0" width="58"/>
    <col collapsed="false" customWidth="true" hidden="false" outlineLevel="0" max="7" min="7" style="0" width="52"/>
  </cols>
  <sheetData>
    <row r="1" customFormat="false" ht="30" hidden="false" customHeight="true" outlineLevel="0" collapsed="false">
      <c r="A1" s="17" t="s">
        <v>392</v>
      </c>
      <c r="B1" s="17" t="s">
        <v>393</v>
      </c>
      <c r="C1" s="17" t="s">
        <v>394</v>
      </c>
      <c r="D1" s="17" t="s">
        <v>395</v>
      </c>
      <c r="E1" s="17" t="s">
        <v>396</v>
      </c>
      <c r="F1" s="17" t="s">
        <v>397</v>
      </c>
      <c r="G1" s="17" t="s">
        <v>398</v>
      </c>
    </row>
    <row r="2" customFormat="false" ht="46.25" hidden="false" customHeight="false" outlineLevel="0" collapsed="false">
      <c r="A2" s="22" t="n">
        <v>1</v>
      </c>
      <c r="B2" s="22" t="s">
        <v>399</v>
      </c>
      <c r="C2" s="23" t="str">
        <f aca="false">IF(AND(OR(ISNUMBER(SEARCH(";aal2;",";"&amp;INDEX(Answers!$G:$G,MATCH("D1",Answers!$A:$A,0))&amp;";")),ISNUMBER(SEARCH(";aal2p;",";"&amp;INDEX(Answers!$G:$G,MATCH("D1",Answers!$A:$A,0))&amp;";")),ISNUMBER(SEARCH(";aal3;",";"&amp;INDEX(Answers!$G:$G,MATCH("D1",Answers!$A:$A,0))&amp;";"))),OR(ISNUMBER(SEARCH(";emaillink;",";"&amp;INDEX(Answers!$G:$G,MATCH("D4",Answers!$A:$A,0))&amp;";")),ISNUMBER(SEARCH(";sms;",";"&amp;INDEX(Answers!$G:$G,MATCH("D4",Answers!$A:$A,0))&amp;";")))),"FIRES","-")</f>
        <v>-</v>
      </c>
      <c r="D2" s="24" t="s">
        <v>400</v>
      </c>
      <c r="E2" s="22" t="s">
        <v>401</v>
      </c>
      <c r="F2" s="22" t="s">
        <v>402</v>
      </c>
      <c r="G2" s="25" t="s">
        <v>403</v>
      </c>
    </row>
    <row r="3" customFormat="false" ht="35.05" hidden="false" customHeight="false" outlineLevel="0" collapsed="false">
      <c r="A3" s="22" t="n">
        <v>2</v>
      </c>
      <c r="B3" s="22" t="s">
        <v>399</v>
      </c>
      <c r="C3" s="23" t="str">
        <f aca="false">IF(AND(ISNUMBER(SEARCH(";emailotp;",";"&amp;INDEX(Answers!$G:$G,MATCH("D3",Answers!$A:$A,0))&amp;";")),ISNUMBER(SEARCH(";email;",";"&amp;INDEX(Answers!$G:$G,MATCH("C1",Answers!$A:$A,0))&amp;";"))),"FIRES","-")</f>
        <v>-</v>
      </c>
      <c r="D3" s="24" t="s">
        <v>404</v>
      </c>
      <c r="E3" s="22" t="s">
        <v>405</v>
      </c>
      <c r="F3" s="22" t="s">
        <v>406</v>
      </c>
      <c r="G3" s="25" t="s">
        <v>407</v>
      </c>
    </row>
    <row r="4" customFormat="false" ht="46.25" hidden="false" customHeight="false" outlineLevel="0" collapsed="false">
      <c r="A4" s="26" t="n">
        <v>3</v>
      </c>
      <c r="B4" s="26" t="s">
        <v>408</v>
      </c>
      <c r="C4" s="27" t="str">
        <f aca="false">IF(AND(ISNUMBER(SEARCH(";sms;",";"&amp;INDEX(Answers!$G:$G,MATCH("D3",Answers!$A:$A,0))&amp;";")),OR(ISNUMBER(SEARCH(";money;",";"&amp;INDEX(Answers!$G:$G,MATCH("A4",Answers!$A:$A,0))&amp;";")),ISNUMBER(SEARCH(";funds;",";"&amp;INDEX(Answers!$G:$G,MATCH("A5",Answers!$A:$A,0))&amp;";")))),"FIRES","-")</f>
        <v>-</v>
      </c>
      <c r="D4" s="28" t="s">
        <v>409</v>
      </c>
      <c r="E4" s="26" t="s">
        <v>410</v>
      </c>
      <c r="F4" s="26" t="s">
        <v>411</v>
      </c>
      <c r="G4" s="29" t="s">
        <v>412</v>
      </c>
    </row>
    <row r="5" customFormat="false" ht="57.45" hidden="false" customHeight="false" outlineLevel="0" collapsed="false">
      <c r="A5" s="26" t="n">
        <v>4</v>
      </c>
      <c r="B5" s="26" t="s">
        <v>408</v>
      </c>
      <c r="C5" s="27" t="str">
        <f aca="false">IF(AND(ISNUMBER(SEARCH(";same;",";"&amp;INDEX(Answers!$G:$G,MATCH("D2",Answers!$A:$A,0))&amp;";")),OR(ISNUMBER(SEARCH(";money;",";"&amp;INDEX(Answers!$G:$G,MATCH("A4",Answers!$A:$A,0))&amp;";")),ISNUMBER(SEARCH(";safety;",";"&amp;INDEX(Answers!$G:$G,MATCH("A4",Answers!$A:$A,0))&amp;";")),AND(NOT(ISNUMBER(SEARCH(";none;",";"&amp;INDEX(Answers!$G:$G,MATCH("A5",Answers!$A:$A,0))&amp;";"))),LEN(TRIM(INDEX(Answers!$G:$G,MATCH("A5",Answers!$A:$A,0))))&gt;0))),"FIRES","-")</f>
        <v>-</v>
      </c>
      <c r="D5" s="28" t="s">
        <v>413</v>
      </c>
      <c r="E5" s="26" t="s">
        <v>414</v>
      </c>
      <c r="F5" s="26" t="s">
        <v>415</v>
      </c>
      <c r="G5" s="29" t="s">
        <v>416</v>
      </c>
    </row>
    <row r="6" customFormat="false" ht="35.05" hidden="false" customHeight="false" outlineLevel="0" collapsed="false">
      <c r="A6" s="26" t="n">
        <v>5</v>
      </c>
      <c r="B6" s="26" t="s">
        <v>408</v>
      </c>
      <c r="C6" s="27" t="str">
        <f aca="false">IF(ISNUMBER(SEARCH(";same;",";"&amp;INDEX(Answers!$G:$G,MATCH("D6",Answers!$A:$A,0))&amp;";")),"FIRES","-")</f>
        <v>-</v>
      </c>
      <c r="D6" s="28" t="s">
        <v>417</v>
      </c>
      <c r="E6" s="26" t="s">
        <v>418</v>
      </c>
      <c r="F6" s="26" t="s">
        <v>419</v>
      </c>
      <c r="G6" s="29" t="s">
        <v>420</v>
      </c>
    </row>
    <row r="7" customFormat="false" ht="46.25" hidden="false" customHeight="false" outlineLevel="0" collapsed="false">
      <c r="A7" s="22" t="n">
        <v>6</v>
      </c>
      <c r="B7" s="22" t="s">
        <v>399</v>
      </c>
      <c r="C7" s="23" t="str">
        <f aca="false">IF(AND(ISNUMBER(SEARCH(";hard;",";"&amp;INDEX(Answers!$G:$G,MATCH("J3",Answers!$A:$A,0))&amp;";")),OR(ISNUMBER(SEARCH(";y6;",";"&amp;INDEX(Answers!$G:$G,MATCH("J5",Answers!$A:$A,0))&amp;";")),ISNUMBER(SEARCH(";y10;",";"&amp;INDEX(Answers!$G:$G,MATCH("J5",Answers!$A:$A,0))&amp;";")),ISNUMBER(SEARCH(";perm;",";"&amp;INDEX(Answers!$G:$G,MATCH("J5",Answers!$A:$A,0))&amp;";")))),"FIRES","-")</f>
        <v>-</v>
      </c>
      <c r="D7" s="24" t="s">
        <v>421</v>
      </c>
      <c r="E7" s="22" t="s">
        <v>422</v>
      </c>
      <c r="F7" s="22" t="s">
        <v>423</v>
      </c>
      <c r="G7" s="25" t="s">
        <v>424</v>
      </c>
    </row>
    <row r="8" customFormat="false" ht="35.05" hidden="false" customHeight="false" outlineLevel="0" collapsed="false">
      <c r="A8" s="22" t="n">
        <v>7</v>
      </c>
      <c r="B8" s="22" t="s">
        <v>399</v>
      </c>
      <c r="C8" s="23" t="str">
        <f aca="false">IF(AND(ISNUMBER(SEARCH(";no;",";"&amp;INDEX(Answers!$G:$G,MATCH("J3",Answers!$A:$A,0))&amp;";")),OR(ISNUMBER(SEARCH(";gdpr;",";"&amp;INDEX(Answers!$G:$G,MATCH("J1",Answers!$A:$A,0))&amp;";")),ISNUMBER(SEARCH(";ndpa;",";"&amp;INDEX(Answers!$G:$G,MATCH("J1",Answers!$A:$A,0))&amp;";")),ISNUMBER(SEARCH(";kenya;",";"&amp;INDEX(Answers!$G:$G,MATCH("J1",Answers!$A:$A,0))&amp;";")),ISNUMBER(SEARCH(";popia;",";"&amp;INDEX(Answers!$G:$G,MATCH("J1",Answers!$A:$A,0))&amp;";")),ISNUMBER(SEARCH(";afother;",";"&amp;INDEX(Answers!$G:$G,MATCH("J1",Answers!$A:$A,0))&amp;";")),ISNUMBER(SEARCH(";us;",";"&amp;INDEX(Answers!$G:$G,MATCH("J1",Answers!$A:$A,0))&amp;";")))),"FIRES","-")</f>
        <v>-</v>
      </c>
      <c r="D8" s="24" t="s">
        <v>425</v>
      </c>
      <c r="E8" s="22" t="s">
        <v>426</v>
      </c>
      <c r="F8" s="22" t="s">
        <v>427</v>
      </c>
      <c r="G8" s="25" t="s">
        <v>428</v>
      </c>
    </row>
    <row r="9" customFormat="false" ht="35.05" hidden="false" customHeight="false" outlineLevel="0" collapsed="false">
      <c r="A9" s="22" t="n">
        <v>8</v>
      </c>
      <c r="B9" s="22" t="s">
        <v>399</v>
      </c>
      <c r="C9" s="23" t="str">
        <f aca="false">IF(AND(ISNUMBER(SEARCH(";none;",";"&amp;INDEX(Answers!$G:$G,MATCH("J1",Answers!$A:$A,0))&amp;";")),OR(ISNUMBER(SEARCH(";health;",";"&amp;INDEX(Answers!$G:$G,MATCH("C8",Answers!$A:$A,0))&amp;";")),ISNUMBER(SEARCH(";bio;",";"&amp;INDEX(Answers!$G:$G,MATCH("C8",Answers!$A:$A,0))&amp;";")),ISNUMBER(SEARCH(";ethnic;",";"&amp;INDEX(Answers!$G:$G,MATCH("C8",Answers!$A:$A,0))&amp;";")),ISNUMBER(SEARCH(";fin;",";"&amp;INDEX(Answers!$G:$G,MATCH("C8",Answers!$A:$A,0))&amp;";")))),"FIRES","-")</f>
        <v>-</v>
      </c>
      <c r="D9" s="24" t="s">
        <v>429</v>
      </c>
      <c r="E9" s="22" t="s">
        <v>430</v>
      </c>
      <c r="F9" s="22" t="s">
        <v>431</v>
      </c>
      <c r="G9" s="25" t="s">
        <v>432</v>
      </c>
    </row>
    <row r="10" customFormat="false" ht="35.05" hidden="false" customHeight="false" outlineLevel="0" collapsed="false">
      <c r="A10" s="26" t="n">
        <v>9</v>
      </c>
      <c r="B10" s="26" t="s">
        <v>408</v>
      </c>
      <c r="C10" s="27" t="str">
        <f aca="false">IF(AND(ISNUMBER(SEARCH(";person;",";"&amp;INDEX(Answers!$G:$G,MATCH("H3",Answers!$A:$A,0))&amp;";")),NOT(ISNUMBER(SEARCH(";none;",";"&amp;INDEX(Answers!$G:$G,MATCH("H5",Answers!$A:$A,0))&amp;";"))),LEN(TRIM(INDEX(Answers!$G:$G,MATCH("H5",Answers!$A:$A,0))))&gt;0),"FIRES","-")</f>
        <v>-</v>
      </c>
      <c r="D10" s="28" t="s">
        <v>433</v>
      </c>
      <c r="E10" s="26" t="s">
        <v>434</v>
      </c>
      <c r="F10" s="26" t="s">
        <v>435</v>
      </c>
      <c r="G10" s="29" t="s">
        <v>436</v>
      </c>
    </row>
    <row r="11" customFormat="false" ht="35.05" hidden="false" customHeight="false" outlineLevel="0" collapsed="false">
      <c r="A11" s="22" t="n">
        <v>10</v>
      </c>
      <c r="B11" s="22" t="s">
        <v>399</v>
      </c>
      <c r="C11" s="23" t="str">
        <f aca="false">IF(AND(ISNUMBER(SEARCH(";any;",";"&amp;INDEX(Answers!$G:$G,MATCH("H2",Answers!$A:$A,0))&amp;";")),OR(ISNUMBER(SEARCH(";maker;",";"&amp;INDEX(Answers!$G:$G,MATCH("G5",Answers!$A:$A,0))&amp;";")),ISNUMBER(SEARCH(";iam;",";"&amp;INDEX(Answers!$G:$G,MATCH("G5",Answers!$A:$A,0))&amp;";")),ISNUMBER(SEARCH(";refund;",";"&amp;INDEX(Answers!$G:$G,MATCH("G5",Answers!$A:$A,0))&amp;";")),ISNUMBER(SEARCH(";publish;",";"&amp;INDEX(Answers!$G:$G,MATCH("G5",Answers!$A:$A,0))&amp;";")),ISNUMBER(SEARCH(";vendor;",";"&amp;INDEX(Answers!$G:$G,MATCH("G5",Answers!$A:$A,0))&amp;";")),ISNUMBER(SEARCH(";stock;",";"&amp;INDEX(Answers!$G:$G,MATCH("G5",Answers!$A:$A,0))&amp;";")),ISNUMBER(SEARCH(";clinical;",";"&amp;INDEX(Answers!$G:$G,MATCH("G5",Answers!$A:$A,0))&amp;";")),ISNUMBER(SEARCH(";grade;",";"&amp;INDEX(Answers!$G:$G,MATCH("G5",Answers!$A:$A,0))&amp;";")))),"FIRES","-")</f>
        <v>-</v>
      </c>
      <c r="D11" s="24" t="s">
        <v>437</v>
      </c>
      <c r="E11" s="22" t="s">
        <v>438</v>
      </c>
      <c r="F11" s="22" t="s">
        <v>439</v>
      </c>
      <c r="G11" s="25" t="s">
        <v>440</v>
      </c>
    </row>
    <row r="12" customFormat="false" ht="35.05" hidden="false" customHeight="false" outlineLevel="0" collapsed="false">
      <c r="A12" s="26" t="n">
        <v>11</v>
      </c>
      <c r="B12" s="26" t="s">
        <v>408</v>
      </c>
      <c r="C12" s="27" t="str">
        <f aca="false">IF(ISNUMBER(SEARCH(";unrestricted;",";"&amp;INDEX(Answers!$G:$G,MATCH("H4",Answers!$A:$A,0))&amp;";")),"FIRES","-")</f>
        <v>-</v>
      </c>
      <c r="D12" s="28" t="s">
        <v>441</v>
      </c>
      <c r="E12" s="26" t="s">
        <v>442</v>
      </c>
      <c r="F12" s="26" t="s">
        <v>443</v>
      </c>
      <c r="G12" s="29" t="s">
        <v>444</v>
      </c>
    </row>
    <row r="13" customFormat="false" ht="23.85" hidden="false" customHeight="false" outlineLevel="0" collapsed="false">
      <c r="A13" s="26" t="n">
        <v>12</v>
      </c>
      <c r="B13" s="26" t="s">
        <v>408</v>
      </c>
      <c r="C13" s="27" t="str">
        <f aca="false">IF(AND(NOT(OR(ISNUMBER(SEARCH(";no;",";"&amp;INDEX(Answers!$G:$G,MATCH("H4",Answers!$A:$A,0))&amp;";")),ISNUMBER(SEARCH(";readonly;",";"&amp;INDEX(Answers!$G:$G,MATCH("H4",Answers!$A:$A,0))&amp;";")))),NOT(ISNUMBER(SEARCH(";imperson;",";"&amp;INDEX(Answers!$G:$G,MATCH("K1",Answers!$A:$A,0))&amp;";")))),"FIRES","-")</f>
        <v>-</v>
      </c>
      <c r="D13" s="28" t="s">
        <v>445</v>
      </c>
      <c r="E13" s="26" t="s">
        <v>446</v>
      </c>
      <c r="F13" s="26" t="s">
        <v>447</v>
      </c>
      <c r="G13" s="29" t="s">
        <v>448</v>
      </c>
    </row>
    <row r="14" customFormat="false" ht="35.05" hidden="false" customHeight="false" outlineLevel="0" collapsed="false">
      <c r="A14" s="22" t="n">
        <v>13</v>
      </c>
      <c r="B14" s="22" t="s">
        <v>399</v>
      </c>
      <c r="C14" s="23" t="str">
        <f aca="false">IF(AND(ISNUMBER(SEARCH(";eventual;",";"&amp;INDEX(Answers!$G:$G,MATCH("B9",Answers!$A:$A,0))&amp;";")),OR(ISNUMBER(SEARCH(";money;",";"&amp;INDEX(Answers!$G:$G,MATCH("A4",Answers!$A:$A,0))&amp;";")),ISNUMBER(SEARCH(";funds;",";"&amp;INDEX(Answers!$G:$G,MATCH("A5",Answers!$A:$A,0))&amp;";")))),"FIRES","-")</f>
        <v>-</v>
      </c>
      <c r="D14" s="24" t="s">
        <v>449</v>
      </c>
      <c r="E14" s="22" t="s">
        <v>450</v>
      </c>
      <c r="F14" s="22" t="s">
        <v>451</v>
      </c>
      <c r="G14" s="25" t="s">
        <v>452</v>
      </c>
    </row>
    <row r="15" customFormat="false" ht="35.05" hidden="false" customHeight="false" outlineLevel="0" collapsed="false">
      <c r="A15" s="22" t="n">
        <v>14</v>
      </c>
      <c r="B15" s="22" t="s">
        <v>399</v>
      </c>
      <c r="C15" s="23" t="str">
        <f aca="false">IF(ISNUMBER(SEARCH(";balance;",";"&amp;INDEX(Answers!$G:$G,MATCH("X-FIN1",Answers!$A:$A,0))&amp;";")),"FIRES","-")</f>
        <v>-</v>
      </c>
      <c r="D15" s="24" t="s">
        <v>453</v>
      </c>
      <c r="E15" s="22" t="s">
        <v>454</v>
      </c>
      <c r="F15" s="22" t="s">
        <v>455</v>
      </c>
      <c r="G15" s="25" t="s">
        <v>456</v>
      </c>
    </row>
    <row r="16" customFormat="false" ht="23.85" hidden="false" customHeight="false" outlineLevel="0" collapsed="false">
      <c r="A16" s="26" t="n">
        <v>15</v>
      </c>
      <c r="B16" s="26" t="s">
        <v>408</v>
      </c>
      <c r="C16" s="27" t="str">
        <f aca="false">IF(AND(ISNUMBER(SEARCH(";auto;",";"&amp;INDEX(Answers!$G:$G,MATCH("L8",Answers!$A:$A,0))&amp;";")),NOT(ISNUMBER(SEARCH(";weeks;",";"&amp;INDEX(Answers!$G:$G,MATCH("L10",Answers!$A:$A,0))&amp;";")))),"FIRES","-")</f>
        <v>-</v>
      </c>
      <c r="D16" s="28" t="s">
        <v>457</v>
      </c>
      <c r="E16" s="26" t="s">
        <v>458</v>
      </c>
      <c r="F16" s="26" t="s">
        <v>459</v>
      </c>
      <c r="G16" s="29" t="s">
        <v>460</v>
      </c>
    </row>
    <row r="17" customFormat="false" ht="46.25" hidden="false" customHeight="false" outlineLevel="0" collapsed="false">
      <c r="A17" s="22" t="n">
        <v>16</v>
      </c>
      <c r="B17" s="22" t="s">
        <v>399</v>
      </c>
      <c r="C17" s="23" t="str">
        <f aca="false">IF(AND(ISNUMBER(SEARCH(";sub1;",";"&amp;INDEX(Answers!$G:$G,MATCH("I5",Answers!$A:$A,0))&amp;";")),ISNUMBER(SEARCH(";svc;",";"&amp;INDEX(Answers!$G:$G,MATCH("I6",Answers!$A:$A,0))&amp;";"))),"FIRES","-")</f>
        <v>-</v>
      </c>
      <c r="D17" s="24" t="s">
        <v>461</v>
      </c>
      <c r="E17" s="22" t="s">
        <v>462</v>
      </c>
      <c r="F17" s="22" t="s">
        <v>463</v>
      </c>
      <c r="G17" s="25" t="s">
        <v>464</v>
      </c>
    </row>
    <row r="18" customFormat="false" ht="35.05" hidden="false" customHeight="false" outlineLevel="0" collapsed="false">
      <c r="A18" s="30" t="n">
        <v>17</v>
      </c>
      <c r="B18" s="30" t="s">
        <v>465</v>
      </c>
      <c r="C18" s="31" t="str">
        <f aca="false">IF(AND(NOT(ISNUMBER(SEARCH(";no;",";"&amp;INDEX(Answers!$G:$G,MATCH("I4",Answers!$A:$A,0))&amp;";"))),LEN(TRIM(INDEX(Answers!$G:$G,MATCH("I4",Answers!$A:$A,0))))&gt;0,NOT(OR(ISNUMBER(SEARCH(";rel;",";"&amp;INDEX(Answers!$G:$G,MATCH("I1",Answers!$A:$A,0))&amp;";")),ISNUMBER(SEARCH(";assign;",";"&amp;INDEX(Answers!$G:$G,MATCH("I1",Answers!$A:$A,0))&amp;";")),ISNUMBER(SEARCH(";nested;",";"&amp;INDEX(Answers!$G:$G,MATCH("I3",Answers!$A:$A,0))&amp;";")))),NOT(OR(ISNUMBER(SEARCH(";attr;",";"&amp;INDEX(Answers!$G:$G,MATCH("I1",Answers!$A:$A,0))&amp;";")),ISNUMBER(SEARCH(";state;",";"&amp;INDEX(Answers!$G:$G,MATCH("I1",Answers!$A:$A,0))&amp;";")),ISNUMBER(SEARCH(";clear;",";"&amp;INDEX(Answers!$G:$G,MATCH("I1",Answers!$A:$A,0))&amp;";")),ISNUMBER(SEARCH(";consent;",";"&amp;INDEX(Answers!$G:$G,MATCH("I1",Answers!$A:$A,0))&amp;";")))),OR(ISNUMBER(SEARCH(";r1;",";"&amp;INDEX(Answers!$G:$G,MATCH("G1",Answers!$A:$A,0))&amp;";")),ISNUMBER(SEARCH(";r2;",";"&amp;INDEX(Answers!$G:$G,MATCH("G1",Answers!$A:$A,0))&amp;";"))),ISNUMBER(SEARCH(";global;",";"&amp;INDEX(Answers!$G:$G,MATCH("G3",Answers!$A:$A,0))&amp;";"))),"FIRES","-")</f>
        <v>-</v>
      </c>
      <c r="D18" s="32" t="s">
        <v>466</v>
      </c>
      <c r="E18" s="30" t="s">
        <v>467</v>
      </c>
      <c r="F18" s="30" t="s">
        <v>468</v>
      </c>
      <c r="G18" s="33" t="s">
        <v>469</v>
      </c>
    </row>
    <row r="19" customFormat="false" ht="35.05" hidden="false" customHeight="false" outlineLevel="0" collapsed="false">
      <c r="A19" s="26" t="n">
        <v>18</v>
      </c>
      <c r="B19" s="26" t="s">
        <v>408</v>
      </c>
      <c r="C19" s="27" t="str">
        <f aca="false">IF(AND(ISNUMBER(SEARCH(";append;",";"&amp;INDEX(Answers!$G:$G,MATCH("K3",Answers!$A:$A,0))&amp;";")),OR(ISNUMBER(SEARCH(";routine;",";"&amp;INDEX(Answers!$G:$G,MATCH("K4",Answers!$A:$A,0))&amp;";")),ISNUMBER(SEARCH(";contract;",";"&amp;INDEX(Answers!$G:$G,MATCH("K4",Answers!$A:$A,0))&amp;";")))),"FIRES","-")</f>
        <v>-</v>
      </c>
      <c r="D19" s="28" t="s">
        <v>470</v>
      </c>
      <c r="E19" s="26" t="s">
        <v>471</v>
      </c>
      <c r="F19" s="26" t="s">
        <v>472</v>
      </c>
      <c r="G19" s="29" t="s">
        <v>473</v>
      </c>
    </row>
    <row r="20" customFormat="false" ht="46.25" hidden="false" customHeight="false" outlineLevel="0" collapsed="false">
      <c r="A20" s="26" t="n">
        <v>19</v>
      </c>
      <c r="B20" s="26" t="s">
        <v>408</v>
      </c>
      <c r="C20" s="27" t="str">
        <f aca="false">IF(ISNUMBER(SEARCH(";natid;",";"&amp;INDEX(Answers!$G:$G,MATCH("C1",Answers!$A:$A,0))&amp;";")),"FIRES","-")</f>
        <v>-</v>
      </c>
      <c r="D20" s="28" t="s">
        <v>474</v>
      </c>
      <c r="E20" s="26" t="s">
        <v>475</v>
      </c>
      <c r="F20" s="26" t="s">
        <v>476</v>
      </c>
      <c r="G20" s="29" t="s">
        <v>477</v>
      </c>
    </row>
    <row r="21" customFormat="false" ht="35.05" hidden="false" customHeight="false" outlineLevel="0" collapsed="false">
      <c r="A21" s="26" t="n">
        <v>20</v>
      </c>
      <c r="B21" s="26" t="s">
        <v>408</v>
      </c>
      <c r="C21" s="27" t="str">
        <f aca="false">IF(ISNUMBER(SEARCH(";unsure;",";"&amp;INDEX(Answers!$G:$G,MATCH("A3",Answers!$A:$A,0))&amp;";")),"FIRES","-")</f>
        <v>-</v>
      </c>
      <c r="D21" s="28" t="s">
        <v>478</v>
      </c>
      <c r="E21" s="26" t="s">
        <v>479</v>
      </c>
      <c r="F21" s="26" t="s">
        <v>480</v>
      </c>
      <c r="G21" s="29" t="s">
        <v>481</v>
      </c>
    </row>
    <row r="22" customFormat="false" ht="35.05" hidden="false" customHeight="false" outlineLevel="0" collapsed="false">
      <c r="A22" s="26" t="n">
        <v>21</v>
      </c>
      <c r="B22" s="26" t="s">
        <v>408</v>
      </c>
      <c r="C22" s="27" t="str">
        <f aca="false">IF(AND(ISNUMBER(SEARCH(";minor;",";"&amp;INDEX(Answers!$G:$G,MATCH("A2",Answers!$A:$A,0))&amp;";")),NOT(LEN(TRIM(INDEX(Answers!$G:$G,MATCH("J6",Answers!$A:$A,0))))&gt;0)),"FIRES","-")</f>
        <v>-</v>
      </c>
      <c r="D22" s="28" t="s">
        <v>482</v>
      </c>
      <c r="E22" s="26" t="s">
        <v>483</v>
      </c>
      <c r="F22" s="26" t="s">
        <v>484</v>
      </c>
      <c r="G22" s="29" t="s">
        <v>485</v>
      </c>
    </row>
    <row r="23" customFormat="false" ht="35.05" hidden="false" customHeight="false" outlineLevel="0" collapsed="false">
      <c r="A23" s="26" t="n">
        <v>22</v>
      </c>
      <c r="B23" s="26" t="s">
        <v>408</v>
      </c>
      <c r="C23" s="27" t="str">
        <f aca="false">IF(AND(OR(ISNUMBER(SEARCH(";large;",";"&amp;INDEX(Answers!$G:$G,MATCH("B1",Answers!$A:$A,0))&amp;";")),ISNUMBER(SEARCH(";huge;",";"&amp;INDEX(Answers!$G:$G,MATCH("B1",Answers!$A:$A,0))&amp;";"))),ISNUMBER(SEARCH(";solo;",";"&amp;INDEX(Answers!$G:$G,MATCH("L1",Answers!$A:$A,0))&amp;";"))),"FIRES","-")</f>
        <v>-</v>
      </c>
      <c r="D23" s="28" t="s">
        <v>486</v>
      </c>
      <c r="E23" s="26" t="s">
        <v>487</v>
      </c>
      <c r="F23" s="26" t="s">
        <v>488</v>
      </c>
      <c r="G23" s="29" t="s">
        <v>489</v>
      </c>
    </row>
    <row r="24" customFormat="false" ht="35.05" hidden="false" customHeight="false" outlineLevel="0" collapsed="false">
      <c r="A24" s="26" t="n">
        <v>23</v>
      </c>
      <c r="B24" s="26" t="s">
        <v>408</v>
      </c>
      <c r="C24" s="27" t="str">
        <f aca="false">IF(AND(ISNUMBER(SEARCH(";no;",";"&amp;INDEX(Answers!$G:$G,MATCH("H6",Answers!$A:$A,0))&amp;";")),OR(ISNUMBER(SEARCH(";routine;",";"&amp;INDEX(Answers!$G:$G,MATCH("K4",Answers!$A:$A,0))&amp;";")),ISNUMBER(SEARCH(";contract;",";"&amp;INDEX(Answers!$G:$G,MATCH("K4",Answers!$A:$A,0))&amp;";")))),"FIRES","-")</f>
        <v>-</v>
      </c>
      <c r="D24" s="28" t="s">
        <v>490</v>
      </c>
      <c r="E24" s="26" t="s">
        <v>491</v>
      </c>
      <c r="F24" s="26" t="s">
        <v>492</v>
      </c>
      <c r="G24" s="29" t="s">
        <v>493</v>
      </c>
    </row>
    <row r="25" customFormat="false" ht="35.05" hidden="false" customHeight="false" outlineLevel="0" collapsed="false">
      <c r="A25" s="26" t="n">
        <v>24</v>
      </c>
      <c r="B25" s="26" t="s">
        <v>408</v>
      </c>
      <c r="C25" s="27" t="str">
        <f aca="false">IF(ISNUMBER(SEARCH(";pan;",";"&amp;INDEX(Answers!$G:$G,MATCH("E4",Answers!$A:$A,0))&amp;";")),"FIRES","-")</f>
        <v>-</v>
      </c>
      <c r="D25" s="28" t="s">
        <v>494</v>
      </c>
      <c r="E25" s="26" t="s">
        <v>495</v>
      </c>
      <c r="F25" s="26" t="s">
        <v>496</v>
      </c>
      <c r="G25" s="29" t="s">
        <v>497</v>
      </c>
    </row>
    <row r="26" customFormat="false" ht="35.05" hidden="false" customHeight="false" outlineLevel="0" collapsed="false">
      <c r="A26" s="26" t="n">
        <v>25</v>
      </c>
      <c r="B26" s="26" t="s">
        <v>408</v>
      </c>
      <c r="C26" s="27" t="str">
        <f aca="false">IF(AND(NOT(ISNUMBER(SEARCH(";delete;",";"&amp;INDEX(Answers!$G:$G,MATCH("E1",Answers!$A:$A,0))&amp;";"))),OR(ISNUMBER(SEARCH(";gdpr;",";"&amp;INDEX(Answers!$G:$G,MATCH("J1",Answers!$A:$A,0))&amp;";")),ISNUMBER(SEARCH(";ndpa;",";"&amp;INDEX(Answers!$G:$G,MATCH("J1",Answers!$A:$A,0))&amp;";")),ISNUMBER(SEARCH(";kenya;",";"&amp;INDEX(Answers!$G:$G,MATCH("J1",Answers!$A:$A,0))&amp;";")),ISNUMBER(SEARCH(";popia;",";"&amp;INDEX(Answers!$G:$G,MATCH("J1",Answers!$A:$A,0))&amp;";")),ISNUMBER(SEARCH(";afother;",";"&amp;INDEX(Answers!$G:$G,MATCH("J1",Answers!$A:$A,0))&amp;";")),ISNUMBER(SEARCH(";us;",";"&amp;INDEX(Answers!$G:$G,MATCH("J1",Answers!$A:$A,0))&amp;";")))),"FIRES","-")</f>
        <v>-</v>
      </c>
      <c r="D26" s="28" t="s">
        <v>498</v>
      </c>
      <c r="E26" s="26" t="s">
        <v>499</v>
      </c>
      <c r="F26" s="26" t="s">
        <v>500</v>
      </c>
      <c r="G26" s="29" t="s">
        <v>501</v>
      </c>
    </row>
    <row r="27" customFormat="false" ht="35.05" hidden="false" customHeight="false" outlineLevel="0" collapsed="false">
      <c r="A27" s="26" t="n">
        <v>26</v>
      </c>
      <c r="B27" s="26" t="s">
        <v>408</v>
      </c>
      <c r="C27" s="27" t="str">
        <f aca="false">IF(AND(NOT(ISNUMBER(SEARCH(";consent;",";"&amp;INDEX(Answers!$G:$G,MATCH("E1",Answers!$A:$A,0))&amp;";"))),OR(ISNUMBER(SEARCH(";purpose;",";"&amp;INDEX(Answers!$G:$G,MATCH("J2",Answers!$A:$A,0))&amp;";")),ISNUMBER(SEARCH(";versioned;",";"&amp;INDEX(Answers!$G:$G,MATCH("J2",Answers!$A:$A,0))&amp;";")))),"FIRES","-")</f>
        <v>-</v>
      </c>
      <c r="D27" s="28" t="s">
        <v>502</v>
      </c>
      <c r="E27" s="26" t="s">
        <v>503</v>
      </c>
      <c r="F27" s="26" t="s">
        <v>504</v>
      </c>
      <c r="G27" s="29" t="s">
        <v>505</v>
      </c>
    </row>
    <row r="28" customFormat="false" ht="35.05" hidden="false" customHeight="false" outlineLevel="0" collapsed="false">
      <c r="A28" s="30" t="n">
        <v>27</v>
      </c>
      <c r="B28" s="30" t="s">
        <v>465</v>
      </c>
      <c r="C28" s="31" t="str">
        <f aca="false">IF(AND(ISNUMBER(SEARCH(";idp;",";"&amp;INDEX(Answers!$G:$G,MATCH("G2",Answers!$A:$A,0))&amp;";")),ISNUMBER(SEARCH(";catalog;",";"&amp;INDEX(Answers!$G:$G,MATCH("H1",Answers!$A:$A,0))&amp;";"))),"FIRES","-")</f>
        <v>-</v>
      </c>
      <c r="D28" s="32" t="s">
        <v>506</v>
      </c>
      <c r="E28" s="30" t="s">
        <v>507</v>
      </c>
      <c r="F28" s="30" t="s">
        <v>508</v>
      </c>
      <c r="G28" s="33" t="s">
        <v>509</v>
      </c>
    </row>
    <row r="29" customFormat="false" ht="35.05" hidden="false" customHeight="false" outlineLevel="0" collapsed="false">
      <c r="A29" s="22" t="n">
        <v>28</v>
      </c>
      <c r="B29" s="22" t="s">
        <v>399</v>
      </c>
      <c r="C29" s="23" t="str">
        <f aca="false">IF(AND(ISNUMBER(SEARCH(";current;",";"&amp;INDEX(Answers!$G:$G,MATCH("F3",Answers!$A:$A,0))&amp;";")),OR(ISNUMBER(SEARCH(";routine;",";"&amp;INDEX(Answers!$G:$G,MATCH("K4",Answers!$A:$A,0))&amp;";")),ISNUMBER(SEARCH(";contract;",";"&amp;INDEX(Answers!$G:$G,MATCH("K4",Answers!$A:$A,0))&amp;";")))),"FIRES","-")</f>
        <v>-</v>
      </c>
      <c r="D29" s="24" t="s">
        <v>510</v>
      </c>
      <c r="E29" s="22" t="s">
        <v>511</v>
      </c>
      <c r="F29" s="22" t="s">
        <v>512</v>
      </c>
      <c r="G29" s="25" t="s">
        <v>513</v>
      </c>
    </row>
    <row r="30" customFormat="false" ht="35.05" hidden="false" customHeight="false" outlineLevel="0" collapsed="false">
      <c r="A30" s="30" t="n">
        <v>29</v>
      </c>
      <c r="B30" s="30" t="s">
        <v>465</v>
      </c>
      <c r="C30" s="31" t="str">
        <f aca="false">IF(AND(ISNUMBER(SEARCH(";full;",";"&amp;INDEX(Answers!$G:$G,MATCH("B10",Answers!$A:$A,0))&amp;";")),OR(ISNUMBER(SEARCH(";own;",";"&amp;INDEX(Answers!$G:$G,MATCH("G3",Answers!$A:$A,0))&amp;";")),ISNUMBER(SEARCH(";inherit;",";"&amp;INDEX(Answers!$G:$G,MATCH("G3",Answers!$A:$A,0))&amp;";")),ISNUMBER(SEARCH(";explicit;",";"&amp;INDEX(Answers!$G:$G,MATCH("G3",Answers!$A:$A,0))&amp;";")),ISNUMBER(SEARCH(";object;",";"&amp;INDEX(Answers!$G:$G,MATCH("G3",Answers!$A:$A,0))&amp;";")))),"FIRES","-")</f>
        <v>-</v>
      </c>
      <c r="D30" s="32" t="s">
        <v>514</v>
      </c>
      <c r="E30" s="30" t="s">
        <v>515</v>
      </c>
      <c r="F30" s="30" t="s">
        <v>516</v>
      </c>
      <c r="G30" s="33" t="s">
        <v>517</v>
      </c>
    </row>
    <row r="31" customFormat="false" ht="35.05" hidden="false" customHeight="false" outlineLevel="0" collapsed="false">
      <c r="A31" s="30" t="n">
        <v>30</v>
      </c>
      <c r="B31" s="30" t="s">
        <v>465</v>
      </c>
      <c r="C31" s="31" t="str">
        <f aca="false">IF(IF(LEN(TRIM(INDEX(Answers!$G:$G,MATCH("C8",Answers!$A:$A,0))))=0,0,LEN(INDEX(Answers!$G:$G,MATCH("C8",Answers!$A:$A,0)))-LEN(SUBSTITUTE(INDEX(Answers!$G:$G,MATCH("C8",Answers!$A:$A,0)),";",""))+1)&gt;6,"FIRES","-")</f>
        <v>-</v>
      </c>
      <c r="D31" s="32" t="s">
        <v>518</v>
      </c>
      <c r="E31" s="30" t="s">
        <v>519</v>
      </c>
      <c r="F31" s="30" t="s">
        <v>520</v>
      </c>
      <c r="G31" s="33" t="s">
        <v>521</v>
      </c>
    </row>
    <row r="32" customFormat="false" ht="35.05" hidden="false" customHeight="false" outlineLevel="0" collapsed="false">
      <c r="A32" s="30" t="n">
        <v>31</v>
      </c>
      <c r="B32" s="30" t="s">
        <v>465</v>
      </c>
      <c r="C32" s="31" t="str">
        <f aca="false">IF(AND(ISNUMBER(SEARCH(";exact;",";"&amp;INDEX(Answers!$G:$G,MATCH("C9",Answers!$A:$A,0))&amp;";")),NOT(ISNUMBER(SEARCH(";child;",";"&amp;INDEX(Answers!$G:$G,MATCH("A5",Answers!$A:$A,0))&amp;";"))),NOT(ISNUMBER(SEARCH(";fintech;",";"&amp;INDEX(Answers!$G:$G,MATCH("A1",Answers!$A:$A,0))&amp;";"))),NOT(ISNUMBER(SEARCH(";health;",";"&amp;INDEX(Answers!$G:$G,MATCH("A1",Answers!$A:$A,0))&amp;";")))),"FIRES","-")</f>
        <v>-</v>
      </c>
      <c r="D32" s="32" t="s">
        <v>522</v>
      </c>
      <c r="E32" s="30" t="s">
        <v>523</v>
      </c>
      <c r="F32" s="30" t="s">
        <v>524</v>
      </c>
      <c r="G32" s="33" t="s">
        <v>525</v>
      </c>
    </row>
  </sheetData>
  <autoFilter ref="A1:G32"/>
  <printOptions headings="false" gridLines="false" gridLinesSet="true" horizontalCentered="fals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&amp;LConflict checks&amp;R&amp;P /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40"/>
    <col collapsed="false" customWidth="true" hidden="false" outlineLevel="0" max="4" min="4" style="0" width="54"/>
    <col collapsed="false" customWidth="true" hidden="false" outlineLevel="0" max="5" min="5" style="0" width="44"/>
    <col collapsed="false" customWidth="true" hidden="false" outlineLevel="0" max="6" min="6" style="0" width="58"/>
    <col collapsed="false" customWidth="true" hidden="false" outlineLevel="0" max="7" min="7" style="0" width="24"/>
  </cols>
  <sheetData>
    <row r="1" customFormat="false" ht="30" hidden="false" customHeight="true" outlineLevel="0" collapsed="false">
      <c r="A1" s="17" t="s">
        <v>392</v>
      </c>
      <c r="B1" s="17" t="s">
        <v>526</v>
      </c>
      <c r="C1" s="17" t="s">
        <v>527</v>
      </c>
      <c r="D1" s="17" t="s">
        <v>528</v>
      </c>
      <c r="E1" s="17" t="s">
        <v>529</v>
      </c>
      <c r="F1" s="17" t="s">
        <v>530</v>
      </c>
      <c r="G1" s="17" t="s">
        <v>32</v>
      </c>
    </row>
    <row r="2" customFormat="false" ht="23.85" hidden="false" customHeight="false" outlineLevel="0" collapsed="false">
      <c r="A2" s="34" t="n">
        <v>1</v>
      </c>
      <c r="B2" s="35" t="s">
        <v>531</v>
      </c>
      <c r="C2" s="34" t="s">
        <v>532</v>
      </c>
      <c r="D2" s="34" t="s">
        <v>533</v>
      </c>
      <c r="E2" s="34" t="s">
        <v>534</v>
      </c>
      <c r="F2" s="34" t="s">
        <v>535</v>
      </c>
      <c r="G2" s="36" t="s">
        <v>536</v>
      </c>
    </row>
    <row r="3" customFormat="false" ht="23.85" hidden="false" customHeight="false" outlineLevel="0" collapsed="false">
      <c r="A3" s="12" t="n">
        <v>2</v>
      </c>
      <c r="B3" s="18" t="s">
        <v>531</v>
      </c>
      <c r="C3" s="12" t="s">
        <v>537</v>
      </c>
      <c r="D3" s="12" t="s">
        <v>538</v>
      </c>
      <c r="E3" s="12" t="s">
        <v>539</v>
      </c>
      <c r="F3" s="12" t="s">
        <v>540</v>
      </c>
      <c r="G3" s="19" t="s">
        <v>541</v>
      </c>
    </row>
    <row r="4" customFormat="false" ht="23.85" hidden="false" customHeight="false" outlineLevel="0" collapsed="false">
      <c r="A4" s="12" t="n">
        <v>3</v>
      </c>
      <c r="B4" s="18" t="s">
        <v>531</v>
      </c>
      <c r="C4" s="12" t="s">
        <v>542</v>
      </c>
      <c r="D4" s="12" t="s">
        <v>543</v>
      </c>
      <c r="E4" s="12" t="s">
        <v>544</v>
      </c>
      <c r="F4" s="12" t="s">
        <v>545</v>
      </c>
      <c r="G4" s="19" t="s">
        <v>546</v>
      </c>
    </row>
    <row r="5" customFormat="false" ht="23.85" hidden="false" customHeight="false" outlineLevel="0" collapsed="false">
      <c r="A5" s="12" t="n">
        <v>4</v>
      </c>
      <c r="B5" s="18" t="s">
        <v>531</v>
      </c>
      <c r="C5" s="12" t="s">
        <v>547</v>
      </c>
      <c r="D5" s="12" t="s">
        <v>548</v>
      </c>
      <c r="E5" s="12" t="s">
        <v>549</v>
      </c>
      <c r="F5" s="12" t="s">
        <v>550</v>
      </c>
      <c r="G5" s="19" t="s">
        <v>551</v>
      </c>
    </row>
    <row r="6" customFormat="false" ht="23.85" hidden="false" customHeight="false" outlineLevel="0" collapsed="false">
      <c r="A6" s="12" t="n">
        <v>5</v>
      </c>
      <c r="B6" s="18" t="s">
        <v>531</v>
      </c>
      <c r="C6" s="12" t="s">
        <v>552</v>
      </c>
      <c r="D6" s="12" t="s">
        <v>543</v>
      </c>
      <c r="E6" s="12" t="s">
        <v>553</v>
      </c>
      <c r="F6" s="12" t="s">
        <v>554</v>
      </c>
      <c r="G6" s="19" t="s">
        <v>541</v>
      </c>
    </row>
    <row r="7" customFormat="false" ht="23.85" hidden="false" customHeight="false" outlineLevel="0" collapsed="false">
      <c r="A7" s="12" t="n">
        <v>6</v>
      </c>
      <c r="B7" s="18" t="s">
        <v>531</v>
      </c>
      <c r="C7" s="12" t="s">
        <v>555</v>
      </c>
      <c r="D7" s="12" t="s">
        <v>556</v>
      </c>
      <c r="E7" s="12" t="s">
        <v>557</v>
      </c>
      <c r="F7" s="12" t="s">
        <v>558</v>
      </c>
      <c r="G7" s="19" t="s">
        <v>559</v>
      </c>
    </row>
    <row r="8" customFormat="false" ht="23.85" hidden="false" customHeight="false" outlineLevel="0" collapsed="false">
      <c r="A8" s="12" t="n">
        <v>7</v>
      </c>
      <c r="B8" s="18" t="s">
        <v>531</v>
      </c>
      <c r="C8" s="12" t="s">
        <v>560</v>
      </c>
      <c r="D8" s="12" t="s">
        <v>543</v>
      </c>
      <c r="E8" s="12" t="s">
        <v>561</v>
      </c>
      <c r="F8" s="12" t="s">
        <v>562</v>
      </c>
      <c r="G8" s="19" t="s">
        <v>541</v>
      </c>
    </row>
    <row r="9" customFormat="false" ht="23.85" hidden="false" customHeight="false" outlineLevel="0" collapsed="false">
      <c r="A9" s="34" t="n">
        <v>8</v>
      </c>
      <c r="B9" s="35" t="s">
        <v>563</v>
      </c>
      <c r="C9" s="34" t="s">
        <v>564</v>
      </c>
      <c r="D9" s="34" t="s">
        <v>565</v>
      </c>
      <c r="E9" s="34" t="s">
        <v>566</v>
      </c>
      <c r="F9" s="34" t="s">
        <v>567</v>
      </c>
      <c r="G9" s="36" t="s">
        <v>568</v>
      </c>
    </row>
    <row r="10" customFormat="false" ht="23.85" hidden="false" customHeight="false" outlineLevel="0" collapsed="false">
      <c r="A10" s="12" t="n">
        <v>9</v>
      </c>
      <c r="B10" s="18" t="s">
        <v>563</v>
      </c>
      <c r="C10" s="12" t="s">
        <v>569</v>
      </c>
      <c r="D10" s="12" t="s">
        <v>570</v>
      </c>
      <c r="E10" s="12" t="s">
        <v>571</v>
      </c>
      <c r="F10" s="12" t="s">
        <v>572</v>
      </c>
      <c r="G10" s="19" t="s">
        <v>568</v>
      </c>
    </row>
    <row r="11" customFormat="false" ht="23.85" hidden="false" customHeight="false" outlineLevel="0" collapsed="false">
      <c r="A11" s="12" t="n">
        <v>10</v>
      </c>
      <c r="B11" s="18" t="s">
        <v>563</v>
      </c>
      <c r="C11" s="12" t="s">
        <v>573</v>
      </c>
      <c r="D11" s="12" t="s">
        <v>574</v>
      </c>
      <c r="E11" s="12" t="s">
        <v>575</v>
      </c>
      <c r="F11" s="12" t="s">
        <v>576</v>
      </c>
      <c r="G11" s="19" t="s">
        <v>577</v>
      </c>
    </row>
    <row r="12" customFormat="false" ht="15" hidden="false" customHeight="false" outlineLevel="0" collapsed="false">
      <c r="A12" s="34" t="n">
        <v>11</v>
      </c>
      <c r="B12" s="35" t="s">
        <v>578</v>
      </c>
      <c r="C12" s="34" t="s">
        <v>579</v>
      </c>
      <c r="D12" s="34" t="s">
        <v>580</v>
      </c>
      <c r="E12" s="34" t="s">
        <v>581</v>
      </c>
      <c r="F12" s="34" t="s">
        <v>582</v>
      </c>
      <c r="G12" s="36" t="s">
        <v>541</v>
      </c>
    </row>
    <row r="13" customFormat="false" ht="23.85" hidden="false" customHeight="false" outlineLevel="0" collapsed="false">
      <c r="A13" s="12" t="n">
        <v>12</v>
      </c>
      <c r="B13" s="18" t="s">
        <v>578</v>
      </c>
      <c r="C13" s="12" t="s">
        <v>583</v>
      </c>
      <c r="D13" s="12" t="s">
        <v>584</v>
      </c>
      <c r="E13" s="12" t="s">
        <v>585</v>
      </c>
      <c r="F13" s="12" t="s">
        <v>586</v>
      </c>
      <c r="G13" s="19" t="s">
        <v>541</v>
      </c>
    </row>
    <row r="14" customFormat="false" ht="23.85" hidden="false" customHeight="false" outlineLevel="0" collapsed="false">
      <c r="A14" s="12" t="n">
        <v>13</v>
      </c>
      <c r="B14" s="18" t="s">
        <v>578</v>
      </c>
      <c r="C14" s="12" t="s">
        <v>587</v>
      </c>
      <c r="D14" s="12" t="s">
        <v>588</v>
      </c>
      <c r="E14" s="12" t="s">
        <v>589</v>
      </c>
      <c r="F14" s="12" t="s">
        <v>590</v>
      </c>
      <c r="G14" s="19" t="s">
        <v>541</v>
      </c>
    </row>
    <row r="15" customFormat="false" ht="23.85" hidden="false" customHeight="false" outlineLevel="0" collapsed="false">
      <c r="A15" s="12" t="n">
        <v>14</v>
      </c>
      <c r="B15" s="18" t="s">
        <v>578</v>
      </c>
      <c r="C15" s="12" t="s">
        <v>591</v>
      </c>
      <c r="D15" s="12" t="s">
        <v>592</v>
      </c>
      <c r="E15" s="12" t="s">
        <v>593</v>
      </c>
      <c r="F15" s="12" t="s">
        <v>594</v>
      </c>
      <c r="G15" s="19" t="s">
        <v>595</v>
      </c>
    </row>
    <row r="16" customFormat="false" ht="15" hidden="false" customHeight="false" outlineLevel="0" collapsed="false">
      <c r="A16" s="34" t="n">
        <v>15</v>
      </c>
      <c r="B16" s="35" t="s">
        <v>596</v>
      </c>
      <c r="C16" s="34" t="s">
        <v>597</v>
      </c>
      <c r="D16" s="34" t="s">
        <v>598</v>
      </c>
      <c r="E16" s="34" t="s">
        <v>599</v>
      </c>
      <c r="F16" s="34" t="s">
        <v>600</v>
      </c>
      <c r="G16" s="36" t="s">
        <v>559</v>
      </c>
    </row>
    <row r="17" customFormat="false" ht="23.85" hidden="false" customHeight="false" outlineLevel="0" collapsed="false">
      <c r="A17" s="12" t="n">
        <v>16</v>
      </c>
      <c r="B17" s="18" t="s">
        <v>596</v>
      </c>
      <c r="C17" s="12" t="s">
        <v>601</v>
      </c>
      <c r="D17" s="12" t="s">
        <v>602</v>
      </c>
      <c r="E17" s="12" t="s">
        <v>603</v>
      </c>
      <c r="F17" s="12" t="s">
        <v>604</v>
      </c>
      <c r="G17" s="19" t="s">
        <v>559</v>
      </c>
    </row>
    <row r="18" customFormat="false" ht="23.85" hidden="false" customHeight="false" outlineLevel="0" collapsed="false">
      <c r="A18" s="12" t="n">
        <v>17</v>
      </c>
      <c r="B18" s="18" t="s">
        <v>596</v>
      </c>
      <c r="C18" s="12" t="s">
        <v>605</v>
      </c>
      <c r="D18" s="12" t="s">
        <v>606</v>
      </c>
      <c r="E18" s="12" t="s">
        <v>607</v>
      </c>
      <c r="F18" s="12" t="s">
        <v>608</v>
      </c>
      <c r="G18" s="19" t="s">
        <v>559</v>
      </c>
    </row>
    <row r="19" customFormat="false" ht="35.05" hidden="false" customHeight="false" outlineLevel="0" collapsed="false">
      <c r="A19" s="34" t="n">
        <v>18</v>
      </c>
      <c r="B19" s="35" t="s">
        <v>609</v>
      </c>
      <c r="C19" s="34" t="s">
        <v>610</v>
      </c>
      <c r="D19" s="34" t="s">
        <v>611</v>
      </c>
      <c r="E19" s="34" t="s">
        <v>612</v>
      </c>
      <c r="F19" s="34" t="s">
        <v>613</v>
      </c>
      <c r="G19" s="36" t="s">
        <v>614</v>
      </c>
    </row>
    <row r="20" customFormat="false" ht="23.85" hidden="false" customHeight="false" outlineLevel="0" collapsed="false">
      <c r="A20" s="12" t="n">
        <v>19</v>
      </c>
      <c r="B20" s="18" t="s">
        <v>609</v>
      </c>
      <c r="C20" s="12" t="s">
        <v>615</v>
      </c>
      <c r="D20" s="12" t="s">
        <v>616</v>
      </c>
      <c r="E20" s="12" t="s">
        <v>617</v>
      </c>
      <c r="F20" s="12" t="s">
        <v>618</v>
      </c>
      <c r="G20" s="19" t="s">
        <v>619</v>
      </c>
    </row>
    <row r="21" customFormat="false" ht="35.05" hidden="false" customHeight="false" outlineLevel="0" collapsed="false">
      <c r="A21" s="34" t="n">
        <v>20</v>
      </c>
      <c r="B21" s="35" t="s">
        <v>620</v>
      </c>
      <c r="C21" s="34" t="s">
        <v>621</v>
      </c>
      <c r="D21" s="34" t="s">
        <v>622</v>
      </c>
      <c r="E21" s="34" t="s">
        <v>623</v>
      </c>
      <c r="F21" s="34" t="s">
        <v>624</v>
      </c>
      <c r="G21" s="36" t="s">
        <v>541</v>
      </c>
    </row>
    <row r="22" customFormat="false" ht="23.85" hidden="false" customHeight="false" outlineLevel="0" collapsed="false">
      <c r="A22" s="12" t="n">
        <v>21</v>
      </c>
      <c r="B22" s="18" t="s">
        <v>620</v>
      </c>
      <c r="C22" s="12" t="s">
        <v>625</v>
      </c>
      <c r="D22" s="12" t="s">
        <v>626</v>
      </c>
      <c r="E22" s="12" t="s">
        <v>627</v>
      </c>
      <c r="F22" s="12" t="s">
        <v>628</v>
      </c>
      <c r="G22" s="19" t="s">
        <v>541</v>
      </c>
    </row>
    <row r="23" customFormat="false" ht="23.85" hidden="false" customHeight="false" outlineLevel="0" collapsed="false">
      <c r="A23" s="34" t="n">
        <v>22</v>
      </c>
      <c r="B23" s="35" t="s">
        <v>629</v>
      </c>
      <c r="C23" s="34" t="s">
        <v>630</v>
      </c>
      <c r="D23" s="34" t="s">
        <v>631</v>
      </c>
      <c r="E23" s="34" t="s">
        <v>632</v>
      </c>
      <c r="F23" s="34" t="s">
        <v>633</v>
      </c>
      <c r="G23" s="36" t="s">
        <v>634</v>
      </c>
    </row>
    <row r="24" customFormat="false" ht="35.05" hidden="false" customHeight="false" outlineLevel="0" collapsed="false">
      <c r="A24" s="12" t="n">
        <v>23</v>
      </c>
      <c r="B24" s="18" t="s">
        <v>629</v>
      </c>
      <c r="C24" s="12" t="s">
        <v>635</v>
      </c>
      <c r="D24" s="12" t="s">
        <v>636</v>
      </c>
      <c r="E24" s="12" t="s">
        <v>637</v>
      </c>
      <c r="F24" s="12" t="s">
        <v>638</v>
      </c>
      <c r="G24" s="19" t="s">
        <v>634</v>
      </c>
    </row>
    <row r="25" customFormat="false" ht="35.05" hidden="false" customHeight="false" outlineLevel="0" collapsed="false">
      <c r="A25" s="12" t="n">
        <v>24</v>
      </c>
      <c r="B25" s="18" t="s">
        <v>629</v>
      </c>
      <c r="C25" s="12" t="s">
        <v>625</v>
      </c>
      <c r="D25" s="12" t="s">
        <v>639</v>
      </c>
      <c r="E25" s="12" t="s">
        <v>640</v>
      </c>
      <c r="F25" s="12" t="s">
        <v>641</v>
      </c>
      <c r="G25" s="19" t="s">
        <v>642</v>
      </c>
    </row>
    <row r="26" customFormat="false" ht="35.05" hidden="false" customHeight="false" outlineLevel="0" collapsed="false">
      <c r="A26" s="34" t="n">
        <v>25</v>
      </c>
      <c r="B26" s="35" t="s">
        <v>30</v>
      </c>
      <c r="C26" s="34" t="s">
        <v>643</v>
      </c>
      <c r="D26" s="34" t="s">
        <v>644</v>
      </c>
      <c r="E26" s="34" t="s">
        <v>645</v>
      </c>
      <c r="F26" s="34" t="s">
        <v>646</v>
      </c>
      <c r="G26" s="36" t="s">
        <v>647</v>
      </c>
    </row>
    <row r="27" customFormat="false" ht="23.85" hidden="false" customHeight="false" outlineLevel="0" collapsed="false">
      <c r="A27" s="12" t="n">
        <v>26</v>
      </c>
      <c r="B27" s="18" t="s">
        <v>30</v>
      </c>
      <c r="C27" s="12" t="s">
        <v>625</v>
      </c>
      <c r="D27" s="12" t="s">
        <v>648</v>
      </c>
      <c r="E27" s="12" t="s">
        <v>649</v>
      </c>
      <c r="F27" s="12" t="s">
        <v>650</v>
      </c>
      <c r="G27" s="19" t="s">
        <v>651</v>
      </c>
    </row>
    <row r="28" customFormat="false" ht="23.85" hidden="false" customHeight="false" outlineLevel="0" collapsed="false">
      <c r="A28" s="12" t="n">
        <v>27</v>
      </c>
      <c r="B28" s="18" t="s">
        <v>30</v>
      </c>
      <c r="C28" s="12" t="s">
        <v>652</v>
      </c>
      <c r="D28" s="12" t="s">
        <v>653</v>
      </c>
      <c r="E28" s="12" t="s">
        <v>654</v>
      </c>
      <c r="F28" s="12" t="s">
        <v>655</v>
      </c>
      <c r="G28" s="19" t="s">
        <v>656</v>
      </c>
    </row>
    <row r="29" customFormat="false" ht="23.85" hidden="false" customHeight="false" outlineLevel="0" collapsed="false">
      <c r="A29" s="34" t="n">
        <v>28</v>
      </c>
      <c r="B29" s="35" t="s">
        <v>657</v>
      </c>
      <c r="C29" s="34" t="s">
        <v>658</v>
      </c>
      <c r="D29" s="34" t="s">
        <v>659</v>
      </c>
      <c r="E29" s="34" t="s">
        <v>660</v>
      </c>
      <c r="F29" s="34" t="s">
        <v>661</v>
      </c>
      <c r="G29" s="36" t="s">
        <v>651</v>
      </c>
    </row>
    <row r="30" customFormat="false" ht="23.85" hidden="false" customHeight="false" outlineLevel="0" collapsed="false">
      <c r="A30" s="12" t="n">
        <v>29</v>
      </c>
      <c r="B30" s="18" t="s">
        <v>657</v>
      </c>
      <c r="C30" s="12" t="s">
        <v>662</v>
      </c>
      <c r="D30" s="12" t="s">
        <v>663</v>
      </c>
      <c r="E30" s="12" t="s">
        <v>664</v>
      </c>
      <c r="F30" s="12" t="s">
        <v>665</v>
      </c>
      <c r="G30" s="19" t="s">
        <v>666</v>
      </c>
    </row>
    <row r="31" customFormat="false" ht="23.85" hidden="false" customHeight="false" outlineLevel="0" collapsed="false">
      <c r="A31" s="34" t="n">
        <v>30</v>
      </c>
      <c r="B31" s="35" t="s">
        <v>254</v>
      </c>
      <c r="C31" s="34" t="s">
        <v>667</v>
      </c>
      <c r="D31" s="34" t="s">
        <v>668</v>
      </c>
      <c r="E31" s="34" t="s">
        <v>669</v>
      </c>
      <c r="F31" s="34" t="s">
        <v>670</v>
      </c>
      <c r="G31" s="36" t="s">
        <v>671</v>
      </c>
    </row>
    <row r="32" customFormat="false" ht="23.85" hidden="false" customHeight="false" outlineLevel="0" collapsed="false">
      <c r="A32" s="12" t="n">
        <v>31</v>
      </c>
      <c r="B32" s="18" t="s">
        <v>254</v>
      </c>
      <c r="C32" s="12" t="s">
        <v>672</v>
      </c>
      <c r="D32" s="12" t="s">
        <v>673</v>
      </c>
      <c r="E32" s="12" t="s">
        <v>674</v>
      </c>
      <c r="F32" s="12" t="s">
        <v>675</v>
      </c>
      <c r="G32" s="19" t="s">
        <v>676</v>
      </c>
    </row>
    <row r="33" customFormat="false" ht="23.85" hidden="false" customHeight="false" outlineLevel="0" collapsed="false">
      <c r="A33" s="12" t="n">
        <v>32</v>
      </c>
      <c r="B33" s="18" t="s">
        <v>254</v>
      </c>
      <c r="C33" s="12" t="s">
        <v>677</v>
      </c>
      <c r="D33" s="12" t="s">
        <v>678</v>
      </c>
      <c r="E33" s="12" t="s">
        <v>679</v>
      </c>
      <c r="F33" s="12" t="s">
        <v>680</v>
      </c>
      <c r="G33" s="19" t="s">
        <v>681</v>
      </c>
    </row>
    <row r="34" customFormat="false" ht="23.85" hidden="false" customHeight="false" outlineLevel="0" collapsed="false">
      <c r="A34" s="12" t="n">
        <v>33</v>
      </c>
      <c r="B34" s="18" t="s">
        <v>254</v>
      </c>
      <c r="C34" s="12" t="s">
        <v>682</v>
      </c>
      <c r="D34" s="12" t="s">
        <v>683</v>
      </c>
      <c r="E34" s="12" t="s">
        <v>684</v>
      </c>
      <c r="F34" s="12" t="s">
        <v>685</v>
      </c>
      <c r="G34" s="19" t="s">
        <v>681</v>
      </c>
    </row>
    <row r="35" customFormat="false" ht="23.85" hidden="false" customHeight="false" outlineLevel="0" collapsed="false">
      <c r="A35" s="12" t="n">
        <v>34</v>
      </c>
      <c r="B35" s="18" t="s">
        <v>254</v>
      </c>
      <c r="C35" s="12" t="s">
        <v>686</v>
      </c>
      <c r="D35" s="12" t="s">
        <v>687</v>
      </c>
      <c r="E35" s="12" t="s">
        <v>688</v>
      </c>
      <c r="F35" s="12" t="s">
        <v>689</v>
      </c>
      <c r="G35" s="19" t="s">
        <v>690</v>
      </c>
    </row>
    <row r="36" customFormat="false" ht="23.85" hidden="false" customHeight="false" outlineLevel="0" collapsed="false">
      <c r="A36" s="34" t="n">
        <v>35</v>
      </c>
      <c r="B36" s="35" t="s">
        <v>183</v>
      </c>
      <c r="C36" s="34" t="s">
        <v>691</v>
      </c>
      <c r="D36" s="34" t="s">
        <v>692</v>
      </c>
      <c r="E36" s="34" t="s">
        <v>693</v>
      </c>
      <c r="F36" s="34" t="s">
        <v>694</v>
      </c>
      <c r="G36" s="36" t="s">
        <v>695</v>
      </c>
    </row>
    <row r="37" customFormat="false" ht="35.05" hidden="false" customHeight="false" outlineLevel="0" collapsed="false">
      <c r="A37" s="12" t="n">
        <v>36</v>
      </c>
      <c r="B37" s="18" t="s">
        <v>183</v>
      </c>
      <c r="C37" s="12" t="s">
        <v>696</v>
      </c>
      <c r="D37" s="12" t="s">
        <v>697</v>
      </c>
      <c r="E37" s="12" t="s">
        <v>698</v>
      </c>
      <c r="F37" s="12" t="s">
        <v>699</v>
      </c>
      <c r="G37" s="19" t="s">
        <v>700</v>
      </c>
    </row>
    <row r="38" customFormat="false" ht="23.85" hidden="false" customHeight="false" outlineLevel="0" collapsed="false">
      <c r="A38" s="12" t="n">
        <v>37</v>
      </c>
      <c r="B38" s="18" t="s">
        <v>183</v>
      </c>
      <c r="C38" s="12" t="s">
        <v>701</v>
      </c>
      <c r="D38" s="12" t="s">
        <v>702</v>
      </c>
      <c r="E38" s="12" t="s">
        <v>703</v>
      </c>
      <c r="F38" s="12" t="s">
        <v>704</v>
      </c>
      <c r="G38" s="19" t="s">
        <v>700</v>
      </c>
    </row>
    <row r="39" customFormat="false" ht="23.85" hidden="false" customHeight="false" outlineLevel="0" collapsed="false">
      <c r="A39" s="12" t="n">
        <v>38</v>
      </c>
      <c r="B39" s="18" t="s">
        <v>183</v>
      </c>
      <c r="C39" s="12" t="s">
        <v>705</v>
      </c>
      <c r="D39" s="12" t="s">
        <v>706</v>
      </c>
      <c r="E39" s="12" t="s">
        <v>707</v>
      </c>
      <c r="F39" s="12" t="s">
        <v>708</v>
      </c>
      <c r="G39" s="19" t="s">
        <v>709</v>
      </c>
    </row>
    <row r="40" customFormat="false" ht="23.85" hidden="false" customHeight="false" outlineLevel="0" collapsed="false">
      <c r="A40" s="34" t="n">
        <v>39</v>
      </c>
      <c r="B40" s="35" t="s">
        <v>710</v>
      </c>
      <c r="C40" s="34" t="s">
        <v>711</v>
      </c>
      <c r="D40" s="34" t="s">
        <v>712</v>
      </c>
      <c r="E40" s="34" t="s">
        <v>713</v>
      </c>
      <c r="F40" s="34" t="s">
        <v>714</v>
      </c>
      <c r="G40" s="36" t="s">
        <v>715</v>
      </c>
    </row>
    <row r="41" customFormat="false" ht="23.85" hidden="false" customHeight="false" outlineLevel="0" collapsed="false">
      <c r="A41" s="12" t="n">
        <v>40</v>
      </c>
      <c r="B41" s="18" t="s">
        <v>710</v>
      </c>
      <c r="C41" s="12" t="s">
        <v>716</v>
      </c>
      <c r="D41" s="12" t="s">
        <v>717</v>
      </c>
      <c r="E41" s="12" t="s">
        <v>718</v>
      </c>
      <c r="F41" s="12" t="s">
        <v>719</v>
      </c>
      <c r="G41" s="19" t="s">
        <v>681</v>
      </c>
    </row>
    <row r="42" customFormat="false" ht="23.85" hidden="false" customHeight="false" outlineLevel="0" collapsed="false">
      <c r="A42" s="12" t="n">
        <v>41</v>
      </c>
      <c r="B42" s="18" t="s">
        <v>710</v>
      </c>
      <c r="C42" s="12" t="s">
        <v>720</v>
      </c>
      <c r="D42" s="12" t="s">
        <v>721</v>
      </c>
      <c r="E42" s="12" t="s">
        <v>722</v>
      </c>
      <c r="F42" s="12" t="s">
        <v>723</v>
      </c>
      <c r="G42" s="19" t="s">
        <v>724</v>
      </c>
    </row>
    <row r="43" customFormat="false" ht="23.85" hidden="false" customHeight="false" outlineLevel="0" collapsed="false">
      <c r="A43" s="34" t="n">
        <v>42</v>
      </c>
      <c r="B43" s="35" t="s">
        <v>725</v>
      </c>
      <c r="C43" s="34" t="s">
        <v>726</v>
      </c>
      <c r="D43" s="34" t="s">
        <v>727</v>
      </c>
      <c r="E43" s="34" t="s">
        <v>728</v>
      </c>
      <c r="F43" s="34" t="s">
        <v>729</v>
      </c>
      <c r="G43" s="36" t="s">
        <v>730</v>
      </c>
    </row>
    <row r="44" customFormat="false" ht="23.85" hidden="false" customHeight="false" outlineLevel="0" collapsed="false">
      <c r="A44" s="12" t="n">
        <v>43</v>
      </c>
      <c r="B44" s="18" t="s">
        <v>725</v>
      </c>
      <c r="C44" s="12" t="s">
        <v>731</v>
      </c>
      <c r="D44" s="12" t="s">
        <v>732</v>
      </c>
      <c r="E44" s="12" t="s">
        <v>733</v>
      </c>
      <c r="F44" s="12" t="s">
        <v>734</v>
      </c>
      <c r="G44" s="19" t="s">
        <v>735</v>
      </c>
    </row>
    <row r="45" customFormat="false" ht="23.85" hidden="false" customHeight="false" outlineLevel="0" collapsed="false">
      <c r="A45" s="34" t="n">
        <v>44</v>
      </c>
      <c r="B45" s="35" t="s">
        <v>736</v>
      </c>
      <c r="C45" s="34" t="s">
        <v>737</v>
      </c>
      <c r="D45" s="34" t="s">
        <v>738</v>
      </c>
      <c r="E45" s="34" t="s">
        <v>739</v>
      </c>
      <c r="F45" s="34" t="s">
        <v>740</v>
      </c>
      <c r="G45" s="36" t="s">
        <v>741</v>
      </c>
    </row>
    <row r="46" customFormat="false" ht="23.85" hidden="false" customHeight="false" outlineLevel="0" collapsed="false">
      <c r="A46" s="12" t="n">
        <v>45</v>
      </c>
      <c r="B46" s="18" t="s">
        <v>736</v>
      </c>
      <c r="C46" s="12" t="s">
        <v>742</v>
      </c>
      <c r="D46" s="12" t="s">
        <v>743</v>
      </c>
      <c r="E46" s="12" t="s">
        <v>744</v>
      </c>
      <c r="F46" s="12" t="s">
        <v>745</v>
      </c>
      <c r="G46" s="19" t="s">
        <v>724</v>
      </c>
    </row>
    <row r="47" customFormat="false" ht="35.05" hidden="false" customHeight="false" outlineLevel="0" collapsed="false">
      <c r="A47" s="12" t="n">
        <v>46</v>
      </c>
      <c r="B47" s="18" t="s">
        <v>736</v>
      </c>
      <c r="C47" s="12" t="s">
        <v>746</v>
      </c>
      <c r="D47" s="12" t="s">
        <v>747</v>
      </c>
      <c r="E47" s="12" t="s">
        <v>748</v>
      </c>
      <c r="F47" s="12" t="s">
        <v>749</v>
      </c>
      <c r="G47" s="19" t="s">
        <v>750</v>
      </c>
    </row>
    <row r="48" customFormat="false" ht="23.85" hidden="false" customHeight="false" outlineLevel="0" collapsed="false">
      <c r="A48" s="12" t="n">
        <v>47</v>
      </c>
      <c r="B48" s="18" t="s">
        <v>736</v>
      </c>
      <c r="C48" s="12" t="s">
        <v>751</v>
      </c>
      <c r="D48" s="12" t="s">
        <v>752</v>
      </c>
      <c r="E48" s="12" t="s">
        <v>753</v>
      </c>
      <c r="F48" s="12" t="s">
        <v>754</v>
      </c>
      <c r="G48" s="19" t="s">
        <v>755</v>
      </c>
    </row>
    <row r="49" customFormat="false" ht="35.05" hidden="false" customHeight="false" outlineLevel="0" collapsed="false">
      <c r="A49" s="34" t="n">
        <v>48</v>
      </c>
      <c r="B49" s="35" t="s">
        <v>756</v>
      </c>
      <c r="C49" s="34" t="s">
        <v>757</v>
      </c>
      <c r="D49" s="34" t="s">
        <v>758</v>
      </c>
      <c r="E49" s="34" t="s">
        <v>759</v>
      </c>
      <c r="F49" s="34" t="s">
        <v>760</v>
      </c>
      <c r="G49" s="36" t="s">
        <v>761</v>
      </c>
    </row>
    <row r="50" customFormat="false" ht="35.05" hidden="false" customHeight="false" outlineLevel="0" collapsed="false">
      <c r="A50" s="12" t="n">
        <v>49</v>
      </c>
      <c r="B50" s="18" t="s">
        <v>756</v>
      </c>
      <c r="C50" s="12" t="s">
        <v>762</v>
      </c>
      <c r="D50" s="12" t="s">
        <v>763</v>
      </c>
      <c r="E50" s="12" t="s">
        <v>764</v>
      </c>
      <c r="F50" s="12" t="s">
        <v>765</v>
      </c>
      <c r="G50" s="19" t="s">
        <v>766</v>
      </c>
    </row>
    <row r="51" customFormat="false" ht="23.85" hidden="false" customHeight="false" outlineLevel="0" collapsed="false">
      <c r="A51" s="12" t="n">
        <v>50</v>
      </c>
      <c r="B51" s="18" t="s">
        <v>756</v>
      </c>
      <c r="C51" s="12" t="s">
        <v>767</v>
      </c>
      <c r="D51" s="12" t="s">
        <v>768</v>
      </c>
      <c r="E51" s="12" t="s">
        <v>769</v>
      </c>
      <c r="F51" s="12" t="s">
        <v>770</v>
      </c>
      <c r="G51" s="19" t="s">
        <v>771</v>
      </c>
    </row>
    <row r="52" customFormat="false" ht="23.85" hidden="false" customHeight="false" outlineLevel="0" collapsed="false">
      <c r="A52" s="34" t="n">
        <v>51</v>
      </c>
      <c r="B52" s="35" t="s">
        <v>772</v>
      </c>
      <c r="C52" s="34" t="s">
        <v>773</v>
      </c>
      <c r="D52" s="34" t="s">
        <v>774</v>
      </c>
      <c r="E52" s="34" t="s">
        <v>775</v>
      </c>
      <c r="F52" s="34" t="s">
        <v>776</v>
      </c>
      <c r="G52" s="36" t="s">
        <v>568</v>
      </c>
    </row>
    <row r="53" customFormat="false" ht="35.05" hidden="false" customHeight="false" outlineLevel="0" collapsed="false">
      <c r="A53" s="12" t="n">
        <v>52</v>
      </c>
      <c r="B53" s="18" t="s">
        <v>772</v>
      </c>
      <c r="C53" s="12" t="s">
        <v>777</v>
      </c>
      <c r="D53" s="12" t="s">
        <v>778</v>
      </c>
      <c r="E53" s="12" t="s">
        <v>733</v>
      </c>
      <c r="F53" s="12" t="s">
        <v>733</v>
      </c>
      <c r="G53" s="19" t="s">
        <v>779</v>
      </c>
    </row>
    <row r="54" customFormat="false" ht="23.85" hidden="false" customHeight="false" outlineLevel="0" collapsed="false">
      <c r="A54" s="34" t="n">
        <v>53</v>
      </c>
      <c r="B54" s="35" t="s">
        <v>780</v>
      </c>
      <c r="C54" s="34" t="s">
        <v>781</v>
      </c>
      <c r="D54" s="34" t="s">
        <v>782</v>
      </c>
      <c r="E54" s="34" t="s">
        <v>783</v>
      </c>
      <c r="F54" s="34" t="s">
        <v>784</v>
      </c>
      <c r="G54" s="36" t="s">
        <v>541</v>
      </c>
    </row>
    <row r="55" customFormat="false" ht="23.85" hidden="false" customHeight="false" outlineLevel="0" collapsed="false">
      <c r="A55" s="12" t="n">
        <v>54</v>
      </c>
      <c r="B55" s="18" t="s">
        <v>780</v>
      </c>
      <c r="C55" s="12" t="s">
        <v>625</v>
      </c>
      <c r="D55" s="12" t="s">
        <v>785</v>
      </c>
      <c r="E55" s="12" t="s">
        <v>786</v>
      </c>
      <c r="F55" s="12" t="s">
        <v>787</v>
      </c>
      <c r="G55" s="19" t="s">
        <v>541</v>
      </c>
    </row>
    <row r="56" customFormat="false" ht="35.05" hidden="false" customHeight="false" outlineLevel="0" collapsed="false">
      <c r="A56" s="34" t="n">
        <v>55</v>
      </c>
      <c r="B56" s="35" t="s">
        <v>788</v>
      </c>
      <c r="C56" s="34" t="s">
        <v>789</v>
      </c>
      <c r="D56" s="34" t="s">
        <v>790</v>
      </c>
      <c r="E56" s="34" t="s">
        <v>791</v>
      </c>
      <c r="F56" s="34" t="s">
        <v>792</v>
      </c>
      <c r="G56" s="36" t="s">
        <v>793</v>
      </c>
    </row>
    <row r="57" customFormat="false" ht="23.85" hidden="false" customHeight="false" outlineLevel="0" collapsed="false">
      <c r="A57" s="12" t="n">
        <v>56</v>
      </c>
      <c r="B57" s="18" t="s">
        <v>788</v>
      </c>
      <c r="C57" s="12" t="s">
        <v>794</v>
      </c>
      <c r="D57" s="12" t="s">
        <v>795</v>
      </c>
      <c r="E57" s="12" t="s">
        <v>796</v>
      </c>
      <c r="F57" s="12" t="s">
        <v>797</v>
      </c>
      <c r="G57" s="19" t="s">
        <v>798</v>
      </c>
    </row>
    <row r="58" customFormat="false" ht="23.85" hidden="false" customHeight="false" outlineLevel="0" collapsed="false">
      <c r="A58" s="12" t="n">
        <v>57</v>
      </c>
      <c r="B58" s="18" t="s">
        <v>788</v>
      </c>
      <c r="C58" s="12" t="s">
        <v>799</v>
      </c>
      <c r="D58" s="12" t="s">
        <v>800</v>
      </c>
      <c r="E58" s="12" t="s">
        <v>801</v>
      </c>
      <c r="F58" s="12" t="s">
        <v>802</v>
      </c>
      <c r="G58" s="19" t="s">
        <v>733</v>
      </c>
    </row>
    <row r="59" customFormat="false" ht="23.85" hidden="false" customHeight="false" outlineLevel="0" collapsed="false">
      <c r="A59" s="12" t="n">
        <v>58</v>
      </c>
      <c r="B59" s="18" t="s">
        <v>788</v>
      </c>
      <c r="C59" s="12" t="s">
        <v>803</v>
      </c>
      <c r="D59" s="12" t="s">
        <v>804</v>
      </c>
      <c r="E59" s="12" t="s">
        <v>805</v>
      </c>
      <c r="F59" s="12" t="s">
        <v>806</v>
      </c>
      <c r="G59" s="19" t="s">
        <v>807</v>
      </c>
    </row>
    <row r="60" customFormat="false" ht="23.85" hidden="false" customHeight="false" outlineLevel="0" collapsed="false">
      <c r="A60" s="12" t="n">
        <v>59</v>
      </c>
      <c r="B60" s="18" t="s">
        <v>788</v>
      </c>
      <c r="C60" s="12" t="s">
        <v>808</v>
      </c>
      <c r="D60" s="12" t="s">
        <v>809</v>
      </c>
      <c r="E60" s="12" t="s">
        <v>810</v>
      </c>
      <c r="F60" s="12" t="s">
        <v>811</v>
      </c>
      <c r="G60" s="19" t="s">
        <v>724</v>
      </c>
    </row>
    <row r="61" customFormat="false" ht="23.85" hidden="false" customHeight="false" outlineLevel="0" collapsed="false">
      <c r="A61" s="12" t="n">
        <v>60</v>
      </c>
      <c r="B61" s="18" t="s">
        <v>788</v>
      </c>
      <c r="C61" s="12" t="s">
        <v>812</v>
      </c>
      <c r="D61" s="12" t="s">
        <v>813</v>
      </c>
      <c r="E61" s="12" t="s">
        <v>814</v>
      </c>
      <c r="F61" s="12" t="s">
        <v>815</v>
      </c>
      <c r="G61" s="19" t="s">
        <v>807</v>
      </c>
    </row>
    <row r="62" customFormat="false" ht="23.85" hidden="false" customHeight="false" outlineLevel="0" collapsed="false">
      <c r="A62" s="12" t="n">
        <v>61</v>
      </c>
      <c r="B62" s="18" t="s">
        <v>788</v>
      </c>
      <c r="C62" s="12" t="s">
        <v>816</v>
      </c>
      <c r="D62" s="12" t="s">
        <v>817</v>
      </c>
      <c r="E62" s="12" t="s">
        <v>818</v>
      </c>
      <c r="F62" s="12" t="s">
        <v>819</v>
      </c>
      <c r="G62" s="19" t="s">
        <v>568</v>
      </c>
    </row>
    <row r="63" customFormat="false" ht="23.85" hidden="false" customHeight="false" outlineLevel="0" collapsed="false">
      <c r="A63" s="12" t="n">
        <v>62</v>
      </c>
      <c r="B63" s="18" t="s">
        <v>788</v>
      </c>
      <c r="C63" s="12" t="s">
        <v>820</v>
      </c>
      <c r="D63" s="12" t="s">
        <v>821</v>
      </c>
      <c r="E63" s="12" t="s">
        <v>822</v>
      </c>
      <c r="F63" s="12" t="s">
        <v>823</v>
      </c>
      <c r="G63" s="19" t="s">
        <v>733</v>
      </c>
    </row>
    <row r="64" customFormat="false" ht="23.85" hidden="false" customHeight="false" outlineLevel="0" collapsed="false">
      <c r="A64" s="12" t="n">
        <v>63</v>
      </c>
      <c r="B64" s="18" t="s">
        <v>788</v>
      </c>
      <c r="C64" s="12" t="s">
        <v>824</v>
      </c>
      <c r="D64" s="12" t="s">
        <v>825</v>
      </c>
      <c r="E64" s="12" t="s">
        <v>826</v>
      </c>
      <c r="F64" s="12" t="s">
        <v>827</v>
      </c>
      <c r="G64" s="19" t="s">
        <v>766</v>
      </c>
    </row>
    <row r="65" customFormat="false" ht="23.85" hidden="false" customHeight="false" outlineLevel="0" collapsed="false">
      <c r="A65" s="12" t="n">
        <v>64</v>
      </c>
      <c r="B65" s="18" t="s">
        <v>788</v>
      </c>
      <c r="C65" s="12" t="s">
        <v>828</v>
      </c>
      <c r="D65" s="12" t="s">
        <v>829</v>
      </c>
      <c r="E65" s="12" t="s">
        <v>830</v>
      </c>
      <c r="F65" s="12" t="s">
        <v>831</v>
      </c>
      <c r="G65" s="19" t="s">
        <v>733</v>
      </c>
    </row>
    <row r="66" customFormat="false" ht="23.85" hidden="false" customHeight="false" outlineLevel="0" collapsed="false">
      <c r="A66" s="12" t="n">
        <v>65</v>
      </c>
      <c r="B66" s="18" t="s">
        <v>788</v>
      </c>
      <c r="C66" s="12" t="s">
        <v>832</v>
      </c>
      <c r="D66" s="12" t="s">
        <v>833</v>
      </c>
      <c r="E66" s="12" t="s">
        <v>834</v>
      </c>
      <c r="F66" s="12" t="s">
        <v>835</v>
      </c>
      <c r="G66" s="19" t="s">
        <v>836</v>
      </c>
    </row>
    <row r="67" customFormat="false" ht="23.85" hidden="false" customHeight="false" outlineLevel="0" collapsed="false">
      <c r="A67" s="12" t="n">
        <v>66</v>
      </c>
      <c r="B67" s="18" t="s">
        <v>788</v>
      </c>
      <c r="C67" s="12" t="s">
        <v>837</v>
      </c>
      <c r="D67" s="12" t="s">
        <v>838</v>
      </c>
      <c r="E67" s="12" t="s">
        <v>839</v>
      </c>
      <c r="F67" s="12" t="s">
        <v>840</v>
      </c>
      <c r="G67" s="19" t="s">
        <v>841</v>
      </c>
    </row>
    <row r="68" customFormat="false" ht="23.85" hidden="false" customHeight="false" outlineLevel="0" collapsed="false">
      <c r="A68" s="12" t="n">
        <v>67</v>
      </c>
      <c r="B68" s="18" t="s">
        <v>788</v>
      </c>
      <c r="C68" s="12" t="s">
        <v>842</v>
      </c>
      <c r="D68" s="12" t="s">
        <v>843</v>
      </c>
      <c r="E68" s="12" t="s">
        <v>844</v>
      </c>
      <c r="F68" s="12" t="s">
        <v>845</v>
      </c>
      <c r="G68" s="19" t="s">
        <v>619</v>
      </c>
    </row>
    <row r="69" customFormat="false" ht="23.85" hidden="false" customHeight="false" outlineLevel="0" collapsed="false">
      <c r="A69" s="12" t="n">
        <v>68</v>
      </c>
      <c r="B69" s="18" t="s">
        <v>788</v>
      </c>
      <c r="C69" s="12" t="s">
        <v>846</v>
      </c>
      <c r="D69" s="12" t="s">
        <v>847</v>
      </c>
      <c r="E69" s="12" t="s">
        <v>848</v>
      </c>
      <c r="F69" s="12" t="s">
        <v>849</v>
      </c>
      <c r="G69" s="19" t="s">
        <v>850</v>
      </c>
    </row>
    <row r="70" customFormat="false" ht="23.85" hidden="false" customHeight="false" outlineLevel="0" collapsed="false">
      <c r="A70" s="12" t="n">
        <v>69</v>
      </c>
      <c r="B70" s="18" t="s">
        <v>788</v>
      </c>
      <c r="C70" s="12" t="s">
        <v>851</v>
      </c>
      <c r="D70" s="12" t="s">
        <v>852</v>
      </c>
      <c r="E70" s="12" t="s">
        <v>853</v>
      </c>
      <c r="F70" s="12" t="s">
        <v>854</v>
      </c>
      <c r="G70" s="19" t="s">
        <v>850</v>
      </c>
    </row>
    <row r="71" customFormat="false" ht="23.85" hidden="false" customHeight="false" outlineLevel="0" collapsed="false">
      <c r="A71" s="12" t="n">
        <v>70</v>
      </c>
      <c r="B71" s="18" t="s">
        <v>788</v>
      </c>
      <c r="C71" s="12" t="s">
        <v>855</v>
      </c>
      <c r="D71" s="12" t="s">
        <v>856</v>
      </c>
      <c r="E71" s="12" t="s">
        <v>857</v>
      </c>
      <c r="F71" s="12" t="s">
        <v>858</v>
      </c>
      <c r="G71" s="19" t="s">
        <v>766</v>
      </c>
    </row>
    <row r="72" customFormat="false" ht="23.85" hidden="false" customHeight="false" outlineLevel="0" collapsed="false">
      <c r="A72" s="12" t="n">
        <v>71</v>
      </c>
      <c r="B72" s="18" t="s">
        <v>788</v>
      </c>
      <c r="C72" s="12" t="s">
        <v>859</v>
      </c>
      <c r="D72" s="12" t="s">
        <v>860</v>
      </c>
      <c r="E72" s="12" t="s">
        <v>861</v>
      </c>
      <c r="F72" s="12" t="s">
        <v>862</v>
      </c>
      <c r="G72" s="19" t="s">
        <v>733</v>
      </c>
    </row>
    <row r="73" customFormat="false" ht="23.85" hidden="false" customHeight="false" outlineLevel="0" collapsed="false">
      <c r="A73" s="12" t="n">
        <v>72</v>
      </c>
      <c r="B73" s="18" t="s">
        <v>788</v>
      </c>
      <c r="C73" s="12" t="s">
        <v>863</v>
      </c>
      <c r="D73" s="12" t="s">
        <v>864</v>
      </c>
      <c r="E73" s="12" t="s">
        <v>865</v>
      </c>
      <c r="F73" s="12" t="s">
        <v>866</v>
      </c>
      <c r="G73" s="19" t="s">
        <v>836</v>
      </c>
    </row>
    <row r="74" customFormat="false" ht="23.85" hidden="false" customHeight="false" outlineLevel="0" collapsed="false">
      <c r="A74" s="12" t="n">
        <v>73</v>
      </c>
      <c r="B74" s="18" t="s">
        <v>788</v>
      </c>
      <c r="C74" s="12" t="s">
        <v>867</v>
      </c>
      <c r="D74" s="12" t="s">
        <v>868</v>
      </c>
      <c r="E74" s="12" t="s">
        <v>869</v>
      </c>
      <c r="F74" s="12" t="s">
        <v>870</v>
      </c>
      <c r="G74" s="19" t="s">
        <v>871</v>
      </c>
    </row>
    <row r="75" customFormat="false" ht="23.85" hidden="false" customHeight="false" outlineLevel="0" collapsed="false">
      <c r="A75" s="12" t="n">
        <v>74</v>
      </c>
      <c r="B75" s="18" t="s">
        <v>788</v>
      </c>
      <c r="C75" s="12" t="s">
        <v>872</v>
      </c>
      <c r="D75" s="12" t="s">
        <v>873</v>
      </c>
      <c r="E75" s="12" t="s">
        <v>874</v>
      </c>
      <c r="F75" s="12" t="s">
        <v>875</v>
      </c>
      <c r="G75" s="19" t="s">
        <v>724</v>
      </c>
    </row>
  </sheetData>
  <autoFilter ref="A1:G75"/>
  <printOptions headings="false" gridLines="false" gridLinesSet="true" horizontalCentered="fals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&amp;LDecision rules&amp;R&amp;P /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58"/>
    <col collapsed="false" customWidth="true" hidden="false" outlineLevel="0" max="4" min="4" style="0" width="16"/>
    <col collapsed="false" customWidth="true" hidden="false" outlineLevel="0" max="5" min="5" style="0" width="52"/>
    <col collapsed="false" customWidth="true" hidden="false" outlineLevel="0" max="6" min="6" style="0" width="58"/>
  </cols>
  <sheetData>
    <row r="1" customFormat="false" ht="30" hidden="false" customHeight="true" outlineLevel="0" collapsed="false">
      <c r="A1" s="17" t="s">
        <v>48</v>
      </c>
      <c r="B1" s="17" t="s">
        <v>47</v>
      </c>
      <c r="C1" s="17" t="s">
        <v>876</v>
      </c>
      <c r="D1" s="17" t="s">
        <v>877</v>
      </c>
      <c r="E1" s="17" t="s">
        <v>878</v>
      </c>
      <c r="F1" s="17" t="s">
        <v>879</v>
      </c>
    </row>
    <row r="2" customFormat="false" ht="15" hidden="false" customHeight="false" outlineLevel="0" collapsed="false">
      <c r="A2" s="18" t="s">
        <v>56</v>
      </c>
      <c r="B2" s="12" t="s">
        <v>57</v>
      </c>
      <c r="C2" s="12" t="s">
        <v>58</v>
      </c>
      <c r="D2" s="12" t="s">
        <v>880</v>
      </c>
      <c r="E2" s="12" t="s">
        <v>881</v>
      </c>
      <c r="F2" s="19" t="s">
        <v>882</v>
      </c>
    </row>
    <row r="3" customFormat="false" ht="15" hidden="false" customHeight="false" outlineLevel="0" collapsed="false">
      <c r="A3" s="18" t="s">
        <v>56</v>
      </c>
      <c r="B3" s="12" t="s">
        <v>57</v>
      </c>
      <c r="C3" s="12" t="s">
        <v>58</v>
      </c>
      <c r="D3" s="12" t="s">
        <v>883</v>
      </c>
      <c r="E3" s="12" t="s">
        <v>884</v>
      </c>
      <c r="F3" s="19" t="s">
        <v>885</v>
      </c>
    </row>
    <row r="4" customFormat="false" ht="15" hidden="false" customHeight="false" outlineLevel="0" collapsed="false">
      <c r="A4" s="18" t="s">
        <v>56</v>
      </c>
      <c r="B4" s="12" t="s">
        <v>57</v>
      </c>
      <c r="C4" s="12" t="s">
        <v>58</v>
      </c>
      <c r="D4" s="12" t="s">
        <v>62</v>
      </c>
      <c r="E4" s="12" t="s">
        <v>886</v>
      </c>
      <c r="F4" s="19" t="s">
        <v>887</v>
      </c>
    </row>
    <row r="5" customFormat="false" ht="15" hidden="false" customHeight="false" outlineLevel="0" collapsed="false">
      <c r="A5" s="18" t="s">
        <v>56</v>
      </c>
      <c r="B5" s="12" t="s">
        <v>57</v>
      </c>
      <c r="C5" s="12" t="s">
        <v>58</v>
      </c>
      <c r="D5" s="12" t="s">
        <v>888</v>
      </c>
      <c r="E5" s="12" t="s">
        <v>889</v>
      </c>
      <c r="F5" s="19" t="s">
        <v>890</v>
      </c>
    </row>
    <row r="6" customFormat="false" ht="15" hidden="false" customHeight="false" outlineLevel="0" collapsed="false">
      <c r="A6" s="18" t="s">
        <v>56</v>
      </c>
      <c r="B6" s="12" t="s">
        <v>57</v>
      </c>
      <c r="C6" s="12" t="s">
        <v>58</v>
      </c>
      <c r="D6" s="12" t="s">
        <v>891</v>
      </c>
      <c r="E6" s="12" t="s">
        <v>892</v>
      </c>
      <c r="F6" s="19" t="s">
        <v>893</v>
      </c>
    </row>
    <row r="7" customFormat="false" ht="15" hidden="false" customHeight="false" outlineLevel="0" collapsed="false">
      <c r="A7" s="18" t="s">
        <v>56</v>
      </c>
      <c r="B7" s="12" t="s">
        <v>57</v>
      </c>
      <c r="C7" s="12" t="s">
        <v>58</v>
      </c>
      <c r="D7" s="12" t="s">
        <v>894</v>
      </c>
      <c r="E7" s="12" t="s">
        <v>895</v>
      </c>
      <c r="F7" s="19" t="s">
        <v>896</v>
      </c>
    </row>
    <row r="8" customFormat="false" ht="15" hidden="false" customHeight="false" outlineLevel="0" collapsed="false">
      <c r="A8" s="18" t="s">
        <v>56</v>
      </c>
      <c r="B8" s="12" t="s">
        <v>57</v>
      </c>
      <c r="C8" s="12" t="s">
        <v>58</v>
      </c>
      <c r="D8" s="12" t="s">
        <v>897</v>
      </c>
      <c r="E8" s="12" t="s">
        <v>898</v>
      </c>
      <c r="F8" s="19" t="s">
        <v>899</v>
      </c>
    </row>
    <row r="9" customFormat="false" ht="15" hidden="false" customHeight="false" outlineLevel="0" collapsed="false">
      <c r="A9" s="18" t="s">
        <v>56</v>
      </c>
      <c r="B9" s="12" t="s">
        <v>57</v>
      </c>
      <c r="C9" s="12" t="s">
        <v>58</v>
      </c>
      <c r="D9" s="12" t="s">
        <v>900</v>
      </c>
      <c r="E9" s="12" t="s">
        <v>901</v>
      </c>
      <c r="F9" s="19" t="s">
        <v>902</v>
      </c>
    </row>
    <row r="10" customFormat="false" ht="15" hidden="false" customHeight="false" outlineLevel="0" collapsed="false">
      <c r="A10" s="18" t="s">
        <v>56</v>
      </c>
      <c r="B10" s="12" t="s">
        <v>57</v>
      </c>
      <c r="C10" s="12" t="s">
        <v>58</v>
      </c>
      <c r="D10" s="12" t="s">
        <v>903</v>
      </c>
      <c r="E10" s="12" t="s">
        <v>904</v>
      </c>
      <c r="F10" s="19" t="s">
        <v>905</v>
      </c>
    </row>
    <row r="11" customFormat="false" ht="15" hidden="false" customHeight="false" outlineLevel="0" collapsed="false">
      <c r="A11" s="18" t="s">
        <v>56</v>
      </c>
      <c r="B11" s="12" t="s">
        <v>57</v>
      </c>
      <c r="C11" s="12" t="s">
        <v>58</v>
      </c>
      <c r="D11" s="12" t="s">
        <v>906</v>
      </c>
      <c r="E11" s="12" t="s">
        <v>907</v>
      </c>
      <c r="F11" s="19" t="s">
        <v>908</v>
      </c>
    </row>
    <row r="12" customFormat="false" ht="15" hidden="false" customHeight="false" outlineLevel="0" collapsed="false">
      <c r="A12" s="35" t="s">
        <v>56</v>
      </c>
      <c r="B12" s="34" t="s">
        <v>57</v>
      </c>
      <c r="C12" s="34" t="s">
        <v>58</v>
      </c>
      <c r="D12" s="34" t="s">
        <v>909</v>
      </c>
      <c r="E12" s="34" t="s">
        <v>910</v>
      </c>
      <c r="F12" s="36" t="s">
        <v>911</v>
      </c>
    </row>
    <row r="13" customFormat="false" ht="15" hidden="false" customHeight="false" outlineLevel="0" collapsed="false">
      <c r="A13" s="18" t="s">
        <v>63</v>
      </c>
      <c r="B13" s="12" t="s">
        <v>57</v>
      </c>
      <c r="C13" s="12" t="s">
        <v>64</v>
      </c>
      <c r="D13" s="12" t="s">
        <v>912</v>
      </c>
      <c r="E13" s="12" t="s">
        <v>913</v>
      </c>
      <c r="F13" s="19" t="s">
        <v>914</v>
      </c>
    </row>
    <row r="14" customFormat="false" ht="15" hidden="false" customHeight="false" outlineLevel="0" collapsed="false">
      <c r="A14" s="18" t="s">
        <v>63</v>
      </c>
      <c r="B14" s="12" t="s">
        <v>57</v>
      </c>
      <c r="C14" s="12" t="s">
        <v>64</v>
      </c>
      <c r="D14" s="12" t="s">
        <v>915</v>
      </c>
      <c r="E14" s="12" t="s">
        <v>916</v>
      </c>
      <c r="F14" s="19" t="s">
        <v>917</v>
      </c>
    </row>
    <row r="15" customFormat="false" ht="15" hidden="false" customHeight="false" outlineLevel="0" collapsed="false">
      <c r="A15" s="18" t="s">
        <v>63</v>
      </c>
      <c r="B15" s="12" t="s">
        <v>57</v>
      </c>
      <c r="C15" s="12" t="s">
        <v>64</v>
      </c>
      <c r="D15" s="12" t="s">
        <v>918</v>
      </c>
      <c r="E15" s="12" t="s">
        <v>919</v>
      </c>
      <c r="F15" s="19" t="s">
        <v>920</v>
      </c>
    </row>
    <row r="16" customFormat="false" ht="15" hidden="false" customHeight="false" outlineLevel="0" collapsed="false">
      <c r="A16" s="18" t="s">
        <v>63</v>
      </c>
      <c r="B16" s="12" t="s">
        <v>57</v>
      </c>
      <c r="C16" s="12" t="s">
        <v>64</v>
      </c>
      <c r="D16" s="12" t="s">
        <v>280</v>
      </c>
      <c r="E16" s="12" t="s">
        <v>921</v>
      </c>
      <c r="F16" s="19" t="s">
        <v>922</v>
      </c>
    </row>
    <row r="17" customFormat="false" ht="15" hidden="false" customHeight="false" outlineLevel="0" collapsed="false">
      <c r="A17" s="18" t="s">
        <v>63</v>
      </c>
      <c r="B17" s="12" t="s">
        <v>57</v>
      </c>
      <c r="C17" s="12" t="s">
        <v>64</v>
      </c>
      <c r="D17" s="12" t="s">
        <v>923</v>
      </c>
      <c r="E17" s="12" t="s">
        <v>924</v>
      </c>
      <c r="F17" s="19" t="s">
        <v>925</v>
      </c>
    </row>
    <row r="18" customFormat="false" ht="15" hidden="false" customHeight="false" outlineLevel="0" collapsed="false">
      <c r="A18" s="18" t="s">
        <v>63</v>
      </c>
      <c r="B18" s="12" t="s">
        <v>57</v>
      </c>
      <c r="C18" s="12" t="s">
        <v>64</v>
      </c>
      <c r="D18" s="12" t="s">
        <v>926</v>
      </c>
      <c r="E18" s="12" t="s">
        <v>927</v>
      </c>
      <c r="F18" s="19" t="s">
        <v>928</v>
      </c>
    </row>
    <row r="19" customFormat="false" ht="15" hidden="false" customHeight="false" outlineLevel="0" collapsed="false">
      <c r="A19" s="18" t="s">
        <v>63</v>
      </c>
      <c r="B19" s="12" t="s">
        <v>57</v>
      </c>
      <c r="C19" s="12" t="s">
        <v>64</v>
      </c>
      <c r="D19" s="12" t="s">
        <v>929</v>
      </c>
      <c r="E19" s="12" t="s">
        <v>930</v>
      </c>
      <c r="F19" s="19" t="s">
        <v>931</v>
      </c>
    </row>
    <row r="20" customFormat="false" ht="15" hidden="false" customHeight="false" outlineLevel="0" collapsed="false">
      <c r="A20" s="18" t="s">
        <v>63</v>
      </c>
      <c r="B20" s="12" t="s">
        <v>57</v>
      </c>
      <c r="C20" s="12" t="s">
        <v>64</v>
      </c>
      <c r="D20" s="12" t="s">
        <v>932</v>
      </c>
      <c r="E20" s="12" t="s">
        <v>933</v>
      </c>
      <c r="F20" s="19" t="s">
        <v>934</v>
      </c>
    </row>
    <row r="21" customFormat="false" ht="15" hidden="false" customHeight="false" outlineLevel="0" collapsed="false">
      <c r="A21" s="18" t="s">
        <v>63</v>
      </c>
      <c r="B21" s="12" t="s">
        <v>57</v>
      </c>
      <c r="C21" s="12" t="s">
        <v>64</v>
      </c>
      <c r="D21" s="12" t="s">
        <v>277</v>
      </c>
      <c r="E21" s="12" t="s">
        <v>935</v>
      </c>
      <c r="F21" s="19" t="s">
        <v>936</v>
      </c>
    </row>
    <row r="22" customFormat="false" ht="15" hidden="false" customHeight="false" outlineLevel="0" collapsed="false">
      <c r="A22" s="35" t="s">
        <v>63</v>
      </c>
      <c r="B22" s="34" t="s">
        <v>57</v>
      </c>
      <c r="C22" s="34" t="s">
        <v>64</v>
      </c>
      <c r="D22" s="34" t="s">
        <v>909</v>
      </c>
      <c r="E22" s="34" t="s">
        <v>910</v>
      </c>
      <c r="F22" s="36" t="s">
        <v>911</v>
      </c>
    </row>
    <row r="23" customFormat="false" ht="15" hidden="false" customHeight="false" outlineLevel="0" collapsed="false">
      <c r="A23" s="18" t="s">
        <v>67</v>
      </c>
      <c r="B23" s="12" t="s">
        <v>57</v>
      </c>
      <c r="C23" s="12" t="s">
        <v>68</v>
      </c>
      <c r="D23" s="12" t="s">
        <v>59</v>
      </c>
      <c r="E23" s="12" t="s">
        <v>937</v>
      </c>
      <c r="F23" s="19" t="s">
        <v>938</v>
      </c>
    </row>
    <row r="24" customFormat="false" ht="15" hidden="false" customHeight="false" outlineLevel="0" collapsed="false">
      <c r="A24" s="18" t="s">
        <v>67</v>
      </c>
      <c r="B24" s="12" t="s">
        <v>57</v>
      </c>
      <c r="C24" s="12" t="s">
        <v>68</v>
      </c>
      <c r="D24" s="12" t="s">
        <v>69</v>
      </c>
      <c r="E24" s="12" t="s">
        <v>939</v>
      </c>
      <c r="F24" s="19" t="s">
        <v>940</v>
      </c>
    </row>
    <row r="25" customFormat="false" ht="15" hidden="false" customHeight="false" outlineLevel="0" collapsed="false">
      <c r="A25" s="18" t="s">
        <v>67</v>
      </c>
      <c r="B25" s="12" t="s">
        <v>57</v>
      </c>
      <c r="C25" s="12" t="s">
        <v>68</v>
      </c>
      <c r="D25" s="12" t="s">
        <v>941</v>
      </c>
      <c r="E25" s="12" t="s">
        <v>942</v>
      </c>
      <c r="F25" s="19" t="s">
        <v>943</v>
      </c>
    </row>
    <row r="26" customFormat="false" ht="15" hidden="false" customHeight="false" outlineLevel="0" collapsed="false">
      <c r="A26" s="18" t="s">
        <v>67</v>
      </c>
      <c r="B26" s="12" t="s">
        <v>57</v>
      </c>
      <c r="C26" s="12" t="s">
        <v>68</v>
      </c>
      <c r="D26" s="12" t="s">
        <v>944</v>
      </c>
      <c r="E26" s="12" t="s">
        <v>945</v>
      </c>
      <c r="F26" s="19" t="s">
        <v>946</v>
      </c>
    </row>
    <row r="27" customFormat="false" ht="15" hidden="false" customHeight="false" outlineLevel="0" collapsed="false">
      <c r="A27" s="18" t="s">
        <v>67</v>
      </c>
      <c r="B27" s="12" t="s">
        <v>57</v>
      </c>
      <c r="C27" s="12" t="s">
        <v>68</v>
      </c>
      <c r="D27" s="12" t="s">
        <v>947</v>
      </c>
      <c r="E27" s="12" t="s">
        <v>948</v>
      </c>
      <c r="F27" s="19" t="s">
        <v>949</v>
      </c>
    </row>
    <row r="28" customFormat="false" ht="15" hidden="false" customHeight="false" outlineLevel="0" collapsed="false">
      <c r="A28" s="35" t="s">
        <v>67</v>
      </c>
      <c r="B28" s="34" t="s">
        <v>57</v>
      </c>
      <c r="C28" s="34" t="s">
        <v>68</v>
      </c>
      <c r="D28" s="34" t="s">
        <v>909</v>
      </c>
      <c r="E28" s="34" t="s">
        <v>910</v>
      </c>
      <c r="F28" s="36" t="s">
        <v>911</v>
      </c>
    </row>
    <row r="29" customFormat="false" ht="23.85" hidden="false" customHeight="false" outlineLevel="0" collapsed="false">
      <c r="A29" s="18" t="s">
        <v>70</v>
      </c>
      <c r="B29" s="12" t="s">
        <v>57</v>
      </c>
      <c r="C29" s="12" t="s">
        <v>71</v>
      </c>
      <c r="D29" s="12" t="s">
        <v>950</v>
      </c>
      <c r="E29" s="12" t="s">
        <v>951</v>
      </c>
      <c r="F29" s="19" t="s">
        <v>952</v>
      </c>
    </row>
    <row r="30" customFormat="false" ht="23.85" hidden="false" customHeight="false" outlineLevel="0" collapsed="false">
      <c r="A30" s="18" t="s">
        <v>70</v>
      </c>
      <c r="B30" s="12" t="s">
        <v>57</v>
      </c>
      <c r="C30" s="12" t="s">
        <v>71</v>
      </c>
      <c r="D30" s="12" t="s">
        <v>953</v>
      </c>
      <c r="E30" s="12" t="s">
        <v>954</v>
      </c>
      <c r="F30" s="19" t="s">
        <v>955</v>
      </c>
    </row>
    <row r="31" customFormat="false" ht="23.85" hidden="false" customHeight="false" outlineLevel="0" collapsed="false">
      <c r="A31" s="18" t="s">
        <v>70</v>
      </c>
      <c r="B31" s="12" t="s">
        <v>57</v>
      </c>
      <c r="C31" s="12" t="s">
        <v>71</v>
      </c>
      <c r="D31" s="12" t="s">
        <v>956</v>
      </c>
      <c r="E31" s="12" t="s">
        <v>957</v>
      </c>
      <c r="F31" s="19" t="s">
        <v>958</v>
      </c>
    </row>
    <row r="32" customFormat="false" ht="23.85" hidden="false" customHeight="false" outlineLevel="0" collapsed="false">
      <c r="A32" s="18" t="s">
        <v>70</v>
      </c>
      <c r="B32" s="12" t="s">
        <v>57</v>
      </c>
      <c r="C32" s="12" t="s">
        <v>71</v>
      </c>
      <c r="D32" s="12" t="s">
        <v>72</v>
      </c>
      <c r="E32" s="12" t="s">
        <v>959</v>
      </c>
      <c r="F32" s="19" t="s">
        <v>960</v>
      </c>
    </row>
    <row r="33" customFormat="false" ht="23.85" hidden="false" customHeight="false" outlineLevel="0" collapsed="false">
      <c r="A33" s="18" t="s">
        <v>70</v>
      </c>
      <c r="B33" s="12" t="s">
        <v>57</v>
      </c>
      <c r="C33" s="12" t="s">
        <v>71</v>
      </c>
      <c r="D33" s="12" t="s">
        <v>961</v>
      </c>
      <c r="E33" s="12" t="s">
        <v>962</v>
      </c>
      <c r="F33" s="19" t="s">
        <v>963</v>
      </c>
    </row>
    <row r="34" customFormat="false" ht="23.85" hidden="false" customHeight="false" outlineLevel="0" collapsed="false">
      <c r="A34" s="35" t="s">
        <v>70</v>
      </c>
      <c r="B34" s="34" t="s">
        <v>57</v>
      </c>
      <c r="C34" s="34" t="s">
        <v>71</v>
      </c>
      <c r="D34" s="34" t="s">
        <v>909</v>
      </c>
      <c r="E34" s="34" t="s">
        <v>910</v>
      </c>
      <c r="F34" s="36" t="s">
        <v>911</v>
      </c>
    </row>
    <row r="35" customFormat="false" ht="15" hidden="false" customHeight="false" outlineLevel="0" collapsed="false">
      <c r="A35" s="18" t="s">
        <v>73</v>
      </c>
      <c r="B35" s="12" t="s">
        <v>57</v>
      </c>
      <c r="C35" s="12" t="s">
        <v>74</v>
      </c>
      <c r="D35" s="12" t="s">
        <v>964</v>
      </c>
      <c r="E35" s="12" t="s">
        <v>965</v>
      </c>
      <c r="F35" s="19" t="s">
        <v>966</v>
      </c>
    </row>
    <row r="36" customFormat="false" ht="15" hidden="false" customHeight="false" outlineLevel="0" collapsed="false">
      <c r="A36" s="18" t="s">
        <v>73</v>
      </c>
      <c r="B36" s="12" t="s">
        <v>57</v>
      </c>
      <c r="C36" s="12" t="s">
        <v>74</v>
      </c>
      <c r="D36" s="12" t="s">
        <v>967</v>
      </c>
      <c r="E36" s="12" t="s">
        <v>968</v>
      </c>
      <c r="F36" s="19" t="s">
        <v>969</v>
      </c>
    </row>
    <row r="37" customFormat="false" ht="15" hidden="false" customHeight="false" outlineLevel="0" collapsed="false">
      <c r="A37" s="18" t="s">
        <v>73</v>
      </c>
      <c r="B37" s="12" t="s">
        <v>57</v>
      </c>
      <c r="C37" s="12" t="s">
        <v>74</v>
      </c>
      <c r="D37" s="12" t="s">
        <v>970</v>
      </c>
      <c r="E37" s="12" t="s">
        <v>971</v>
      </c>
      <c r="F37" s="19"/>
    </row>
    <row r="38" customFormat="false" ht="15" hidden="false" customHeight="false" outlineLevel="0" collapsed="false">
      <c r="A38" s="18" t="s">
        <v>73</v>
      </c>
      <c r="B38" s="12" t="s">
        <v>57</v>
      </c>
      <c r="C38" s="12" t="s">
        <v>74</v>
      </c>
      <c r="D38" s="12" t="s">
        <v>972</v>
      </c>
      <c r="E38" s="12" t="s">
        <v>973</v>
      </c>
      <c r="F38" s="19"/>
    </row>
    <row r="39" customFormat="false" ht="22.35" hidden="false" customHeight="false" outlineLevel="0" collapsed="false">
      <c r="A39" s="18" t="s">
        <v>73</v>
      </c>
      <c r="B39" s="12" t="s">
        <v>57</v>
      </c>
      <c r="C39" s="12" t="s">
        <v>74</v>
      </c>
      <c r="D39" s="12" t="s">
        <v>974</v>
      </c>
      <c r="E39" s="12" t="s">
        <v>975</v>
      </c>
      <c r="F39" s="19" t="s">
        <v>976</v>
      </c>
    </row>
    <row r="40" customFormat="false" ht="15" hidden="false" customHeight="false" outlineLevel="0" collapsed="false">
      <c r="A40" s="18" t="s">
        <v>73</v>
      </c>
      <c r="B40" s="12" t="s">
        <v>57</v>
      </c>
      <c r="C40" s="12" t="s">
        <v>74</v>
      </c>
      <c r="D40" s="12" t="s">
        <v>977</v>
      </c>
      <c r="E40" s="12" t="s">
        <v>978</v>
      </c>
      <c r="F40" s="19" t="s">
        <v>979</v>
      </c>
    </row>
    <row r="41" customFormat="false" ht="15" hidden="false" customHeight="false" outlineLevel="0" collapsed="false">
      <c r="A41" s="18" t="s">
        <v>73</v>
      </c>
      <c r="B41" s="12" t="s">
        <v>57</v>
      </c>
      <c r="C41" s="12" t="s">
        <v>74</v>
      </c>
      <c r="D41" s="12" t="s">
        <v>897</v>
      </c>
      <c r="E41" s="12" t="s">
        <v>980</v>
      </c>
      <c r="F41" s="19" t="s">
        <v>981</v>
      </c>
    </row>
    <row r="42" customFormat="false" ht="15" hidden="false" customHeight="false" outlineLevel="0" collapsed="false">
      <c r="A42" s="18" t="s">
        <v>73</v>
      </c>
      <c r="B42" s="12" t="s">
        <v>57</v>
      </c>
      <c r="C42" s="12" t="s">
        <v>74</v>
      </c>
      <c r="D42" s="12" t="s">
        <v>982</v>
      </c>
      <c r="E42" s="12" t="s">
        <v>983</v>
      </c>
      <c r="F42" s="19"/>
    </row>
    <row r="43" customFormat="false" ht="15" hidden="false" customHeight="false" outlineLevel="0" collapsed="false">
      <c r="A43" s="18" t="s">
        <v>73</v>
      </c>
      <c r="B43" s="12" t="s">
        <v>57</v>
      </c>
      <c r="C43" s="12" t="s">
        <v>74</v>
      </c>
      <c r="D43" s="12" t="s">
        <v>75</v>
      </c>
      <c r="E43" s="12" t="s">
        <v>984</v>
      </c>
      <c r="F43" s="19"/>
    </row>
    <row r="44" customFormat="false" ht="15" hidden="false" customHeight="false" outlineLevel="0" collapsed="false">
      <c r="A44" s="35" t="s">
        <v>73</v>
      </c>
      <c r="B44" s="34" t="s">
        <v>57</v>
      </c>
      <c r="C44" s="34" t="s">
        <v>74</v>
      </c>
      <c r="D44" s="34" t="s">
        <v>909</v>
      </c>
      <c r="E44" s="34" t="s">
        <v>910</v>
      </c>
      <c r="F44" s="36" t="s">
        <v>911</v>
      </c>
    </row>
    <row r="45" customFormat="false" ht="23.85" hidden="false" customHeight="false" outlineLevel="0" collapsed="false">
      <c r="A45" s="18" t="s">
        <v>76</v>
      </c>
      <c r="B45" s="12" t="s">
        <v>77</v>
      </c>
      <c r="C45" s="12" t="s">
        <v>78</v>
      </c>
      <c r="D45" s="12" t="s">
        <v>985</v>
      </c>
      <c r="E45" s="12" t="s">
        <v>986</v>
      </c>
      <c r="F45" s="19"/>
    </row>
    <row r="46" customFormat="false" ht="23.85" hidden="false" customHeight="false" outlineLevel="0" collapsed="false">
      <c r="A46" s="18" t="s">
        <v>76</v>
      </c>
      <c r="B46" s="12" t="s">
        <v>77</v>
      </c>
      <c r="C46" s="12" t="s">
        <v>78</v>
      </c>
      <c r="D46" s="12" t="s">
        <v>79</v>
      </c>
      <c r="E46" s="12" t="s">
        <v>987</v>
      </c>
      <c r="F46" s="19"/>
    </row>
    <row r="47" customFormat="false" ht="23.85" hidden="false" customHeight="false" outlineLevel="0" collapsed="false">
      <c r="A47" s="18" t="s">
        <v>76</v>
      </c>
      <c r="B47" s="12" t="s">
        <v>77</v>
      </c>
      <c r="C47" s="12" t="s">
        <v>78</v>
      </c>
      <c r="D47" s="12" t="s">
        <v>988</v>
      </c>
      <c r="E47" s="12" t="s">
        <v>989</v>
      </c>
      <c r="F47" s="19"/>
    </row>
    <row r="48" customFormat="false" ht="23.85" hidden="false" customHeight="false" outlineLevel="0" collapsed="false">
      <c r="A48" s="18" t="s">
        <v>76</v>
      </c>
      <c r="B48" s="12" t="s">
        <v>77</v>
      </c>
      <c r="C48" s="12" t="s">
        <v>78</v>
      </c>
      <c r="D48" s="12" t="s">
        <v>990</v>
      </c>
      <c r="E48" s="12" t="s">
        <v>991</v>
      </c>
      <c r="F48" s="19"/>
    </row>
    <row r="49" customFormat="false" ht="23.85" hidden="false" customHeight="false" outlineLevel="0" collapsed="false">
      <c r="A49" s="18" t="s">
        <v>76</v>
      </c>
      <c r="B49" s="12" t="s">
        <v>77</v>
      </c>
      <c r="C49" s="12" t="s">
        <v>78</v>
      </c>
      <c r="D49" s="12" t="s">
        <v>992</v>
      </c>
      <c r="E49" s="12" t="s">
        <v>993</v>
      </c>
      <c r="F49" s="19"/>
    </row>
    <row r="50" customFormat="false" ht="23.85" hidden="false" customHeight="false" outlineLevel="0" collapsed="false">
      <c r="A50" s="18" t="s">
        <v>76</v>
      </c>
      <c r="B50" s="12" t="s">
        <v>77</v>
      </c>
      <c r="C50" s="12" t="s">
        <v>78</v>
      </c>
      <c r="D50" s="12" t="s">
        <v>994</v>
      </c>
      <c r="E50" s="12" t="s">
        <v>995</v>
      </c>
      <c r="F50" s="19" t="s">
        <v>996</v>
      </c>
    </row>
    <row r="51" customFormat="false" ht="23.85" hidden="false" customHeight="false" outlineLevel="0" collapsed="false">
      <c r="A51" s="35" t="s">
        <v>76</v>
      </c>
      <c r="B51" s="34" t="s">
        <v>77</v>
      </c>
      <c r="C51" s="34" t="s">
        <v>78</v>
      </c>
      <c r="D51" s="34" t="s">
        <v>909</v>
      </c>
      <c r="E51" s="34" t="s">
        <v>910</v>
      </c>
      <c r="F51" s="36" t="s">
        <v>911</v>
      </c>
    </row>
    <row r="52" customFormat="false" ht="15" hidden="false" customHeight="false" outlineLevel="0" collapsed="false">
      <c r="A52" s="18" t="s">
        <v>80</v>
      </c>
      <c r="B52" s="12" t="s">
        <v>77</v>
      </c>
      <c r="C52" s="12" t="s">
        <v>81</v>
      </c>
      <c r="D52" s="12" t="s">
        <v>997</v>
      </c>
      <c r="E52" s="12" t="s">
        <v>998</v>
      </c>
      <c r="F52" s="19" t="s">
        <v>999</v>
      </c>
    </row>
    <row r="53" customFormat="false" ht="15" hidden="false" customHeight="false" outlineLevel="0" collapsed="false">
      <c r="A53" s="18" t="s">
        <v>80</v>
      </c>
      <c r="B53" s="12" t="s">
        <v>77</v>
      </c>
      <c r="C53" s="12" t="s">
        <v>81</v>
      </c>
      <c r="D53" s="12" t="s">
        <v>82</v>
      </c>
      <c r="E53" s="12" t="s">
        <v>1000</v>
      </c>
      <c r="F53" s="19"/>
    </row>
    <row r="54" customFormat="false" ht="15" hidden="false" customHeight="false" outlineLevel="0" collapsed="false">
      <c r="A54" s="18" t="s">
        <v>80</v>
      </c>
      <c r="B54" s="12" t="s">
        <v>77</v>
      </c>
      <c r="C54" s="12" t="s">
        <v>81</v>
      </c>
      <c r="D54" s="12" t="s">
        <v>1001</v>
      </c>
      <c r="E54" s="12" t="s">
        <v>1002</v>
      </c>
      <c r="F54" s="19" t="s">
        <v>1003</v>
      </c>
    </row>
    <row r="55" customFormat="false" ht="15" hidden="false" customHeight="false" outlineLevel="0" collapsed="false">
      <c r="A55" s="18" t="s">
        <v>80</v>
      </c>
      <c r="B55" s="12" t="s">
        <v>77</v>
      </c>
      <c r="C55" s="12" t="s">
        <v>81</v>
      </c>
      <c r="D55" s="12" t="s">
        <v>1004</v>
      </c>
      <c r="E55" s="12" t="s">
        <v>1005</v>
      </c>
      <c r="F55" s="19" t="s">
        <v>1006</v>
      </c>
    </row>
    <row r="56" customFormat="false" ht="15" hidden="false" customHeight="false" outlineLevel="0" collapsed="false">
      <c r="A56" s="35" t="s">
        <v>80</v>
      </c>
      <c r="B56" s="34" t="s">
        <v>77</v>
      </c>
      <c r="C56" s="34" t="s">
        <v>81</v>
      </c>
      <c r="D56" s="34" t="s">
        <v>909</v>
      </c>
      <c r="E56" s="34" t="s">
        <v>910</v>
      </c>
      <c r="F56" s="36" t="s">
        <v>911</v>
      </c>
    </row>
    <row r="57" customFormat="false" ht="15" hidden="false" customHeight="false" outlineLevel="0" collapsed="false">
      <c r="A57" s="18" t="s">
        <v>83</v>
      </c>
      <c r="B57" s="12" t="s">
        <v>77</v>
      </c>
      <c r="C57" s="12" t="s">
        <v>84</v>
      </c>
      <c r="D57" s="12" t="s">
        <v>1007</v>
      </c>
      <c r="E57" s="12" t="s">
        <v>1008</v>
      </c>
      <c r="F57" s="19"/>
    </row>
    <row r="58" customFormat="false" ht="15" hidden="false" customHeight="false" outlineLevel="0" collapsed="false">
      <c r="A58" s="18" t="s">
        <v>83</v>
      </c>
      <c r="B58" s="12" t="s">
        <v>77</v>
      </c>
      <c r="C58" s="12" t="s">
        <v>84</v>
      </c>
      <c r="D58" s="12" t="s">
        <v>85</v>
      </c>
      <c r="E58" s="12" t="s">
        <v>1009</v>
      </c>
      <c r="F58" s="19"/>
    </row>
    <row r="59" customFormat="false" ht="15" hidden="false" customHeight="false" outlineLevel="0" collapsed="false">
      <c r="A59" s="18" t="s">
        <v>83</v>
      </c>
      <c r="B59" s="12" t="s">
        <v>77</v>
      </c>
      <c r="C59" s="12" t="s">
        <v>84</v>
      </c>
      <c r="D59" s="12" t="s">
        <v>1010</v>
      </c>
      <c r="E59" s="12" t="s">
        <v>1011</v>
      </c>
      <c r="F59" s="19"/>
    </row>
    <row r="60" customFormat="false" ht="15" hidden="false" customHeight="false" outlineLevel="0" collapsed="false">
      <c r="A60" s="18" t="s">
        <v>83</v>
      </c>
      <c r="B60" s="12" t="s">
        <v>77</v>
      </c>
      <c r="C60" s="12" t="s">
        <v>84</v>
      </c>
      <c r="D60" s="12" t="s">
        <v>1012</v>
      </c>
      <c r="E60" s="12" t="s">
        <v>1013</v>
      </c>
      <c r="F60" s="19"/>
    </row>
    <row r="61" customFormat="false" ht="15" hidden="false" customHeight="false" outlineLevel="0" collapsed="false">
      <c r="A61" s="18" t="s">
        <v>83</v>
      </c>
      <c r="B61" s="12" t="s">
        <v>77</v>
      </c>
      <c r="C61" s="12" t="s">
        <v>84</v>
      </c>
      <c r="D61" s="12" t="s">
        <v>1014</v>
      </c>
      <c r="E61" s="12" t="s">
        <v>1015</v>
      </c>
      <c r="F61" s="19"/>
    </row>
    <row r="62" customFormat="false" ht="15" hidden="false" customHeight="false" outlineLevel="0" collapsed="false">
      <c r="A62" s="35" t="s">
        <v>83</v>
      </c>
      <c r="B62" s="34" t="s">
        <v>77</v>
      </c>
      <c r="C62" s="34" t="s">
        <v>84</v>
      </c>
      <c r="D62" s="34" t="s">
        <v>909</v>
      </c>
      <c r="E62" s="34" t="s">
        <v>910</v>
      </c>
      <c r="F62" s="36" t="s">
        <v>911</v>
      </c>
    </row>
    <row r="63" customFormat="false" ht="23.85" hidden="false" customHeight="false" outlineLevel="0" collapsed="false">
      <c r="A63" s="18" t="s">
        <v>86</v>
      </c>
      <c r="B63" s="12" t="s">
        <v>77</v>
      </c>
      <c r="C63" s="12" t="s">
        <v>87</v>
      </c>
      <c r="D63" s="12" t="s">
        <v>1016</v>
      </c>
      <c r="E63" s="12" t="s">
        <v>1017</v>
      </c>
      <c r="F63" s="19"/>
    </row>
    <row r="64" customFormat="false" ht="23.85" hidden="false" customHeight="false" outlineLevel="0" collapsed="false">
      <c r="A64" s="18" t="s">
        <v>86</v>
      </c>
      <c r="B64" s="12" t="s">
        <v>77</v>
      </c>
      <c r="C64" s="12" t="s">
        <v>87</v>
      </c>
      <c r="D64" s="12" t="s">
        <v>88</v>
      </c>
      <c r="E64" s="12" t="s">
        <v>1018</v>
      </c>
      <c r="F64" s="19"/>
    </row>
    <row r="65" customFormat="false" ht="23.85" hidden="false" customHeight="false" outlineLevel="0" collapsed="false">
      <c r="A65" s="18" t="s">
        <v>86</v>
      </c>
      <c r="B65" s="12" t="s">
        <v>77</v>
      </c>
      <c r="C65" s="12" t="s">
        <v>87</v>
      </c>
      <c r="D65" s="12" t="s">
        <v>106</v>
      </c>
      <c r="E65" s="12" t="s">
        <v>1019</v>
      </c>
      <c r="F65" s="19"/>
    </row>
    <row r="66" customFormat="false" ht="23.85" hidden="false" customHeight="false" outlineLevel="0" collapsed="false">
      <c r="A66" s="35" t="s">
        <v>86</v>
      </c>
      <c r="B66" s="34" t="s">
        <v>77</v>
      </c>
      <c r="C66" s="34" t="s">
        <v>87</v>
      </c>
      <c r="D66" s="34" t="s">
        <v>909</v>
      </c>
      <c r="E66" s="34" t="s">
        <v>910</v>
      </c>
      <c r="F66" s="36" t="s">
        <v>911</v>
      </c>
    </row>
    <row r="67" customFormat="false" ht="15" hidden="false" customHeight="false" outlineLevel="0" collapsed="false">
      <c r="A67" s="18" t="s">
        <v>89</v>
      </c>
      <c r="B67" s="12" t="s">
        <v>77</v>
      </c>
      <c r="C67" s="12" t="s">
        <v>90</v>
      </c>
      <c r="D67" s="12" t="s">
        <v>189</v>
      </c>
      <c r="E67" s="12" t="s">
        <v>1020</v>
      </c>
      <c r="F67" s="19"/>
    </row>
    <row r="68" customFormat="false" ht="23.85" hidden="false" customHeight="false" outlineLevel="0" collapsed="false">
      <c r="A68" s="18" t="s">
        <v>89</v>
      </c>
      <c r="B68" s="12" t="s">
        <v>77</v>
      </c>
      <c r="C68" s="12" t="s">
        <v>90</v>
      </c>
      <c r="D68" s="12" t="s">
        <v>91</v>
      </c>
      <c r="E68" s="12" t="s">
        <v>1021</v>
      </c>
      <c r="F68" s="19" t="s">
        <v>1022</v>
      </c>
    </row>
    <row r="69" customFormat="false" ht="15" hidden="false" customHeight="false" outlineLevel="0" collapsed="false">
      <c r="A69" s="18" t="s">
        <v>89</v>
      </c>
      <c r="B69" s="12" t="s">
        <v>77</v>
      </c>
      <c r="C69" s="12" t="s">
        <v>90</v>
      </c>
      <c r="D69" s="12" t="s">
        <v>1023</v>
      </c>
      <c r="E69" s="12" t="s">
        <v>1024</v>
      </c>
      <c r="F69" s="19" t="s">
        <v>1025</v>
      </c>
    </row>
    <row r="70" customFormat="false" ht="15" hidden="false" customHeight="false" outlineLevel="0" collapsed="false">
      <c r="A70" s="18" t="s">
        <v>89</v>
      </c>
      <c r="B70" s="12" t="s">
        <v>77</v>
      </c>
      <c r="C70" s="12" t="s">
        <v>90</v>
      </c>
      <c r="D70" s="12" t="s">
        <v>1026</v>
      </c>
      <c r="E70" s="12" t="s">
        <v>1027</v>
      </c>
      <c r="F70" s="19" t="s">
        <v>1028</v>
      </c>
    </row>
    <row r="71" customFormat="false" ht="15" hidden="false" customHeight="false" outlineLevel="0" collapsed="false">
      <c r="A71" s="35" t="s">
        <v>89</v>
      </c>
      <c r="B71" s="34" t="s">
        <v>77</v>
      </c>
      <c r="C71" s="34" t="s">
        <v>90</v>
      </c>
      <c r="D71" s="34" t="s">
        <v>909</v>
      </c>
      <c r="E71" s="34" t="s">
        <v>910</v>
      </c>
      <c r="F71" s="36" t="s">
        <v>911</v>
      </c>
    </row>
    <row r="72" customFormat="false" ht="15" hidden="false" customHeight="false" outlineLevel="0" collapsed="false">
      <c r="A72" s="18" t="s">
        <v>92</v>
      </c>
      <c r="B72" s="12" t="s">
        <v>77</v>
      </c>
      <c r="C72" s="12" t="s">
        <v>93</v>
      </c>
      <c r="D72" s="12" t="s">
        <v>1029</v>
      </c>
      <c r="E72" s="12" t="s">
        <v>1030</v>
      </c>
      <c r="F72" s="19"/>
    </row>
    <row r="73" customFormat="false" ht="15" hidden="false" customHeight="false" outlineLevel="0" collapsed="false">
      <c r="A73" s="18" t="s">
        <v>92</v>
      </c>
      <c r="B73" s="12" t="s">
        <v>77</v>
      </c>
      <c r="C73" s="12" t="s">
        <v>93</v>
      </c>
      <c r="D73" s="12" t="s">
        <v>94</v>
      </c>
      <c r="E73" s="12" t="s">
        <v>1031</v>
      </c>
      <c r="F73" s="19"/>
    </row>
    <row r="74" customFormat="false" ht="15" hidden="false" customHeight="false" outlineLevel="0" collapsed="false">
      <c r="A74" s="18" t="s">
        <v>92</v>
      </c>
      <c r="B74" s="12" t="s">
        <v>77</v>
      </c>
      <c r="C74" s="12" t="s">
        <v>93</v>
      </c>
      <c r="D74" s="12" t="s">
        <v>65</v>
      </c>
      <c r="E74" s="12" t="s">
        <v>1032</v>
      </c>
      <c r="F74" s="19"/>
    </row>
    <row r="75" customFormat="false" ht="15" hidden="false" customHeight="false" outlineLevel="0" collapsed="false">
      <c r="A75" s="18" t="s">
        <v>92</v>
      </c>
      <c r="B75" s="12" t="s">
        <v>77</v>
      </c>
      <c r="C75" s="12" t="s">
        <v>93</v>
      </c>
      <c r="D75" s="12" t="s">
        <v>1033</v>
      </c>
      <c r="E75" s="12" t="s">
        <v>1034</v>
      </c>
      <c r="F75" s="19"/>
    </row>
    <row r="76" customFormat="false" ht="15" hidden="false" customHeight="false" outlineLevel="0" collapsed="false">
      <c r="A76" s="35" t="s">
        <v>92</v>
      </c>
      <c r="B76" s="34" t="s">
        <v>77</v>
      </c>
      <c r="C76" s="34" t="s">
        <v>93</v>
      </c>
      <c r="D76" s="34" t="s">
        <v>909</v>
      </c>
      <c r="E76" s="34" t="s">
        <v>910</v>
      </c>
      <c r="F76" s="36" t="s">
        <v>911</v>
      </c>
    </row>
    <row r="77" customFormat="false" ht="15" hidden="false" customHeight="false" outlineLevel="0" collapsed="false">
      <c r="A77" s="18" t="s">
        <v>95</v>
      </c>
      <c r="B77" s="12" t="s">
        <v>77</v>
      </c>
      <c r="C77" s="12" t="s">
        <v>96</v>
      </c>
      <c r="D77" s="12" t="s">
        <v>75</v>
      </c>
      <c r="E77" s="12" t="s">
        <v>1035</v>
      </c>
      <c r="F77" s="19"/>
    </row>
    <row r="78" customFormat="false" ht="15" hidden="false" customHeight="false" outlineLevel="0" collapsed="false">
      <c r="A78" s="18" t="s">
        <v>95</v>
      </c>
      <c r="B78" s="12" t="s">
        <v>77</v>
      </c>
      <c r="C78" s="12" t="s">
        <v>96</v>
      </c>
      <c r="D78" s="12" t="s">
        <v>1036</v>
      </c>
      <c r="E78" s="12" t="s">
        <v>1037</v>
      </c>
      <c r="F78" s="19"/>
    </row>
    <row r="79" customFormat="false" ht="15" hidden="false" customHeight="false" outlineLevel="0" collapsed="false">
      <c r="A79" s="18" t="s">
        <v>95</v>
      </c>
      <c r="B79" s="12" t="s">
        <v>77</v>
      </c>
      <c r="C79" s="12" t="s">
        <v>96</v>
      </c>
      <c r="D79" s="12" t="s">
        <v>97</v>
      </c>
      <c r="E79" s="12" t="s">
        <v>1038</v>
      </c>
      <c r="F79" s="19"/>
    </row>
    <row r="80" customFormat="false" ht="15" hidden="false" customHeight="false" outlineLevel="0" collapsed="false">
      <c r="A80" s="18" t="s">
        <v>95</v>
      </c>
      <c r="B80" s="12" t="s">
        <v>77</v>
      </c>
      <c r="C80" s="12" t="s">
        <v>96</v>
      </c>
      <c r="D80" s="12" t="s">
        <v>1039</v>
      </c>
      <c r="E80" s="12" t="s">
        <v>1040</v>
      </c>
      <c r="F80" s="19"/>
    </row>
    <row r="81" customFormat="false" ht="15" hidden="false" customHeight="false" outlineLevel="0" collapsed="false">
      <c r="A81" s="18" t="s">
        <v>95</v>
      </c>
      <c r="B81" s="12" t="s">
        <v>77</v>
      </c>
      <c r="C81" s="12" t="s">
        <v>96</v>
      </c>
      <c r="D81" s="12" t="s">
        <v>1041</v>
      </c>
      <c r="E81" s="12" t="s">
        <v>1042</v>
      </c>
      <c r="F81" s="19" t="s">
        <v>1043</v>
      </c>
    </row>
    <row r="82" customFormat="false" ht="15" hidden="false" customHeight="false" outlineLevel="0" collapsed="false">
      <c r="A82" s="35" t="s">
        <v>95</v>
      </c>
      <c r="B82" s="34" t="s">
        <v>77</v>
      </c>
      <c r="C82" s="34" t="s">
        <v>96</v>
      </c>
      <c r="D82" s="34" t="s">
        <v>909</v>
      </c>
      <c r="E82" s="34" t="s">
        <v>910</v>
      </c>
      <c r="F82" s="36" t="s">
        <v>911</v>
      </c>
    </row>
    <row r="83" customFormat="false" ht="15" hidden="false" customHeight="false" outlineLevel="0" collapsed="false">
      <c r="A83" s="18" t="s">
        <v>98</v>
      </c>
      <c r="B83" s="12" t="s">
        <v>77</v>
      </c>
      <c r="C83" s="12" t="s">
        <v>99</v>
      </c>
      <c r="D83" s="12" t="s">
        <v>75</v>
      </c>
      <c r="E83" s="12" t="s">
        <v>1044</v>
      </c>
      <c r="F83" s="19"/>
    </row>
    <row r="84" customFormat="false" ht="15" hidden="false" customHeight="false" outlineLevel="0" collapsed="false">
      <c r="A84" s="18" t="s">
        <v>98</v>
      </c>
      <c r="B84" s="12" t="s">
        <v>77</v>
      </c>
      <c r="C84" s="12" t="s">
        <v>99</v>
      </c>
      <c r="D84" s="12" t="s">
        <v>100</v>
      </c>
      <c r="E84" s="12" t="s">
        <v>1045</v>
      </c>
      <c r="F84" s="19" t="s">
        <v>1046</v>
      </c>
    </row>
    <row r="85" customFormat="false" ht="15" hidden="false" customHeight="false" outlineLevel="0" collapsed="false">
      <c r="A85" s="18" t="s">
        <v>98</v>
      </c>
      <c r="B85" s="12" t="s">
        <v>77</v>
      </c>
      <c r="C85" s="12" t="s">
        <v>99</v>
      </c>
      <c r="D85" s="12" t="s">
        <v>1047</v>
      </c>
      <c r="E85" s="12" t="s">
        <v>1048</v>
      </c>
      <c r="F85" s="19"/>
    </row>
    <row r="86" customFormat="false" ht="15" hidden="false" customHeight="false" outlineLevel="0" collapsed="false">
      <c r="A86" s="18" t="s">
        <v>98</v>
      </c>
      <c r="B86" s="12" t="s">
        <v>77</v>
      </c>
      <c r="C86" s="12" t="s">
        <v>99</v>
      </c>
      <c r="D86" s="12" t="s">
        <v>1049</v>
      </c>
      <c r="E86" s="12" t="s">
        <v>1050</v>
      </c>
      <c r="F86" s="19"/>
    </row>
    <row r="87" customFormat="false" ht="15" hidden="false" customHeight="false" outlineLevel="0" collapsed="false">
      <c r="A87" s="35" t="s">
        <v>98</v>
      </c>
      <c r="B87" s="34" t="s">
        <v>77</v>
      </c>
      <c r="C87" s="34" t="s">
        <v>99</v>
      </c>
      <c r="D87" s="34" t="s">
        <v>909</v>
      </c>
      <c r="E87" s="34" t="s">
        <v>910</v>
      </c>
      <c r="F87" s="36" t="s">
        <v>911</v>
      </c>
    </row>
    <row r="88" customFormat="false" ht="15" hidden="false" customHeight="false" outlineLevel="0" collapsed="false">
      <c r="A88" s="18" t="s">
        <v>101</v>
      </c>
      <c r="B88" s="12" t="s">
        <v>77</v>
      </c>
      <c r="C88" s="12" t="s">
        <v>102</v>
      </c>
      <c r="D88" s="12" t="s">
        <v>1051</v>
      </c>
      <c r="E88" s="12" t="s">
        <v>1052</v>
      </c>
      <c r="F88" s="19" t="s">
        <v>1053</v>
      </c>
    </row>
    <row r="89" customFormat="false" ht="15" hidden="false" customHeight="false" outlineLevel="0" collapsed="false">
      <c r="A89" s="18" t="s">
        <v>101</v>
      </c>
      <c r="B89" s="12" t="s">
        <v>77</v>
      </c>
      <c r="C89" s="12" t="s">
        <v>102</v>
      </c>
      <c r="D89" s="12" t="s">
        <v>103</v>
      </c>
      <c r="E89" s="12" t="s">
        <v>1054</v>
      </c>
      <c r="F89" s="19" t="s">
        <v>1055</v>
      </c>
    </row>
    <row r="90" customFormat="false" ht="15" hidden="false" customHeight="false" outlineLevel="0" collapsed="false">
      <c r="A90" s="18" t="s">
        <v>101</v>
      </c>
      <c r="B90" s="12" t="s">
        <v>77</v>
      </c>
      <c r="C90" s="12" t="s">
        <v>102</v>
      </c>
      <c r="D90" s="12" t="s">
        <v>1056</v>
      </c>
      <c r="E90" s="12" t="s">
        <v>1057</v>
      </c>
      <c r="F90" s="19" t="s">
        <v>1058</v>
      </c>
    </row>
    <row r="91" customFormat="false" ht="15" hidden="false" customHeight="false" outlineLevel="0" collapsed="false">
      <c r="A91" s="18" t="s">
        <v>101</v>
      </c>
      <c r="B91" s="12" t="s">
        <v>77</v>
      </c>
      <c r="C91" s="12" t="s">
        <v>102</v>
      </c>
      <c r="D91" s="12" t="s">
        <v>947</v>
      </c>
      <c r="E91" s="12" t="s">
        <v>1059</v>
      </c>
      <c r="F91" s="19"/>
    </row>
    <row r="92" customFormat="false" ht="15" hidden="false" customHeight="false" outlineLevel="0" collapsed="false">
      <c r="A92" s="35" t="s">
        <v>101</v>
      </c>
      <c r="B92" s="34" t="s">
        <v>77</v>
      </c>
      <c r="C92" s="34" t="s">
        <v>102</v>
      </c>
      <c r="D92" s="34" t="s">
        <v>909</v>
      </c>
      <c r="E92" s="34" t="s">
        <v>910</v>
      </c>
      <c r="F92" s="36" t="s">
        <v>911</v>
      </c>
    </row>
    <row r="93" customFormat="false" ht="15" hidden="false" customHeight="false" outlineLevel="0" collapsed="false">
      <c r="A93" s="18" t="s">
        <v>104</v>
      </c>
      <c r="B93" s="12" t="s">
        <v>77</v>
      </c>
      <c r="C93" s="12" t="s">
        <v>105</v>
      </c>
      <c r="D93" s="12" t="s">
        <v>106</v>
      </c>
      <c r="E93" s="12" t="s">
        <v>1060</v>
      </c>
      <c r="F93" s="19"/>
    </row>
    <row r="94" customFormat="false" ht="15" hidden="false" customHeight="false" outlineLevel="0" collapsed="false">
      <c r="A94" s="18" t="s">
        <v>104</v>
      </c>
      <c r="B94" s="12" t="s">
        <v>77</v>
      </c>
      <c r="C94" s="12" t="s">
        <v>105</v>
      </c>
      <c r="D94" s="12" t="s">
        <v>1061</v>
      </c>
      <c r="E94" s="12" t="s">
        <v>1062</v>
      </c>
      <c r="F94" s="19"/>
    </row>
    <row r="95" customFormat="false" ht="15" hidden="false" customHeight="false" outlineLevel="0" collapsed="false">
      <c r="A95" s="18" t="s">
        <v>104</v>
      </c>
      <c r="B95" s="12" t="s">
        <v>77</v>
      </c>
      <c r="C95" s="12" t="s">
        <v>105</v>
      </c>
      <c r="D95" s="12" t="s">
        <v>1063</v>
      </c>
      <c r="E95" s="12" t="s">
        <v>1064</v>
      </c>
      <c r="F95" s="19" t="s">
        <v>1065</v>
      </c>
    </row>
    <row r="96" customFormat="false" ht="15" hidden="false" customHeight="false" outlineLevel="0" collapsed="false">
      <c r="A96" s="35" t="s">
        <v>104</v>
      </c>
      <c r="B96" s="34" t="s">
        <v>77</v>
      </c>
      <c r="C96" s="34" t="s">
        <v>105</v>
      </c>
      <c r="D96" s="34" t="s">
        <v>909</v>
      </c>
      <c r="E96" s="34" t="s">
        <v>910</v>
      </c>
      <c r="F96" s="36" t="s">
        <v>911</v>
      </c>
    </row>
    <row r="97" customFormat="false" ht="15" hidden="false" customHeight="false" outlineLevel="0" collapsed="false">
      <c r="A97" s="18" t="s">
        <v>107</v>
      </c>
      <c r="B97" s="12" t="s">
        <v>108</v>
      </c>
      <c r="C97" s="12" t="s">
        <v>109</v>
      </c>
      <c r="D97" s="12" t="s">
        <v>110</v>
      </c>
      <c r="E97" s="12" t="s">
        <v>1066</v>
      </c>
      <c r="F97" s="19"/>
    </row>
    <row r="98" customFormat="false" ht="15" hidden="false" customHeight="false" outlineLevel="0" collapsed="false">
      <c r="A98" s="18" t="s">
        <v>107</v>
      </c>
      <c r="B98" s="12" t="s">
        <v>108</v>
      </c>
      <c r="C98" s="12" t="s">
        <v>109</v>
      </c>
      <c r="D98" s="12" t="s">
        <v>1067</v>
      </c>
      <c r="E98" s="12" t="s">
        <v>1068</v>
      </c>
      <c r="F98" s="19"/>
    </row>
    <row r="99" customFormat="false" ht="15" hidden="false" customHeight="false" outlineLevel="0" collapsed="false">
      <c r="A99" s="18" t="s">
        <v>107</v>
      </c>
      <c r="B99" s="12" t="s">
        <v>108</v>
      </c>
      <c r="C99" s="12" t="s">
        <v>109</v>
      </c>
      <c r="D99" s="12" t="s">
        <v>1069</v>
      </c>
      <c r="E99" s="12" t="s">
        <v>1070</v>
      </c>
      <c r="F99" s="19"/>
    </row>
    <row r="100" customFormat="false" ht="15" hidden="false" customHeight="false" outlineLevel="0" collapsed="false">
      <c r="A100" s="18" t="s">
        <v>107</v>
      </c>
      <c r="B100" s="12" t="s">
        <v>108</v>
      </c>
      <c r="C100" s="12" t="s">
        <v>109</v>
      </c>
      <c r="D100" s="12" t="s">
        <v>1071</v>
      </c>
      <c r="E100" s="12" t="s">
        <v>1072</v>
      </c>
      <c r="F100" s="19" t="s">
        <v>1073</v>
      </c>
    </row>
    <row r="101" customFormat="false" ht="15" hidden="false" customHeight="false" outlineLevel="0" collapsed="false">
      <c r="A101" s="18" t="s">
        <v>107</v>
      </c>
      <c r="B101" s="12" t="s">
        <v>108</v>
      </c>
      <c r="C101" s="12" t="s">
        <v>109</v>
      </c>
      <c r="D101" s="12" t="s">
        <v>1074</v>
      </c>
      <c r="E101" s="12" t="s">
        <v>1075</v>
      </c>
      <c r="F101" s="19"/>
    </row>
    <row r="102" customFormat="false" ht="15" hidden="false" customHeight="false" outlineLevel="0" collapsed="false">
      <c r="A102" s="18" t="s">
        <v>107</v>
      </c>
      <c r="B102" s="12" t="s">
        <v>108</v>
      </c>
      <c r="C102" s="12" t="s">
        <v>109</v>
      </c>
      <c r="D102" s="12" t="s">
        <v>1076</v>
      </c>
      <c r="E102" s="12" t="s">
        <v>1077</v>
      </c>
      <c r="F102" s="19"/>
    </row>
    <row r="103" customFormat="false" ht="15" hidden="false" customHeight="false" outlineLevel="0" collapsed="false">
      <c r="A103" s="35" t="s">
        <v>107</v>
      </c>
      <c r="B103" s="34" t="s">
        <v>108</v>
      </c>
      <c r="C103" s="34" t="s">
        <v>109</v>
      </c>
      <c r="D103" s="34" t="s">
        <v>909</v>
      </c>
      <c r="E103" s="34" t="s">
        <v>910</v>
      </c>
      <c r="F103" s="36" t="s">
        <v>911</v>
      </c>
    </row>
    <row r="104" customFormat="false" ht="15" hidden="false" customHeight="false" outlineLevel="0" collapsed="false">
      <c r="A104" s="18" t="s">
        <v>111</v>
      </c>
      <c r="B104" s="12" t="s">
        <v>108</v>
      </c>
      <c r="C104" s="12" t="s">
        <v>112</v>
      </c>
      <c r="D104" s="12" t="s">
        <v>1078</v>
      </c>
      <c r="E104" s="12" t="s">
        <v>1079</v>
      </c>
      <c r="F104" s="19" t="s">
        <v>1080</v>
      </c>
    </row>
    <row r="105" customFormat="false" ht="15" hidden="false" customHeight="false" outlineLevel="0" collapsed="false">
      <c r="A105" s="18" t="s">
        <v>111</v>
      </c>
      <c r="B105" s="12" t="s">
        <v>108</v>
      </c>
      <c r="C105" s="12" t="s">
        <v>112</v>
      </c>
      <c r="D105" s="12" t="s">
        <v>114</v>
      </c>
      <c r="E105" s="12" t="s">
        <v>1081</v>
      </c>
      <c r="F105" s="19" t="s">
        <v>1082</v>
      </c>
    </row>
    <row r="106" customFormat="false" ht="15" hidden="false" customHeight="false" outlineLevel="0" collapsed="false">
      <c r="A106" s="18" t="s">
        <v>111</v>
      </c>
      <c r="B106" s="12" t="s">
        <v>108</v>
      </c>
      <c r="C106" s="12" t="s">
        <v>112</v>
      </c>
      <c r="D106" s="12" t="s">
        <v>1083</v>
      </c>
      <c r="E106" s="12" t="s">
        <v>1084</v>
      </c>
      <c r="F106" s="19" t="s">
        <v>1085</v>
      </c>
    </row>
    <row r="107" customFormat="false" ht="15" hidden="false" customHeight="false" outlineLevel="0" collapsed="false">
      <c r="A107" s="18" t="s">
        <v>111</v>
      </c>
      <c r="B107" s="12" t="s">
        <v>108</v>
      </c>
      <c r="C107" s="12" t="s">
        <v>112</v>
      </c>
      <c r="D107" s="12" t="s">
        <v>1086</v>
      </c>
      <c r="E107" s="12" t="s">
        <v>1087</v>
      </c>
      <c r="F107" s="19" t="s">
        <v>1088</v>
      </c>
    </row>
    <row r="108" customFormat="false" ht="15" hidden="false" customHeight="false" outlineLevel="0" collapsed="false">
      <c r="A108" s="18" t="s">
        <v>111</v>
      </c>
      <c r="B108" s="12" t="s">
        <v>108</v>
      </c>
      <c r="C108" s="12" t="s">
        <v>112</v>
      </c>
      <c r="D108" s="12" t="s">
        <v>325</v>
      </c>
      <c r="E108" s="12" t="s">
        <v>1089</v>
      </c>
      <c r="F108" s="19" t="s">
        <v>1090</v>
      </c>
    </row>
    <row r="109" customFormat="false" ht="15" hidden="false" customHeight="false" outlineLevel="0" collapsed="false">
      <c r="A109" s="35" t="s">
        <v>111</v>
      </c>
      <c r="B109" s="34" t="s">
        <v>108</v>
      </c>
      <c r="C109" s="34" t="s">
        <v>112</v>
      </c>
      <c r="D109" s="34" t="s">
        <v>909</v>
      </c>
      <c r="E109" s="34" t="s">
        <v>910</v>
      </c>
      <c r="F109" s="36" t="s">
        <v>911</v>
      </c>
    </row>
    <row r="110" customFormat="false" ht="15" hidden="false" customHeight="false" outlineLevel="0" collapsed="false">
      <c r="A110" s="18" t="s">
        <v>115</v>
      </c>
      <c r="B110" s="12" t="s">
        <v>108</v>
      </c>
      <c r="C110" s="12" t="s">
        <v>116</v>
      </c>
      <c r="D110" s="12" t="s">
        <v>106</v>
      </c>
      <c r="E110" s="12" t="s">
        <v>1091</v>
      </c>
      <c r="F110" s="19"/>
    </row>
    <row r="111" customFormat="false" ht="15" hidden="false" customHeight="false" outlineLevel="0" collapsed="false">
      <c r="A111" s="18" t="s">
        <v>115</v>
      </c>
      <c r="B111" s="12" t="s">
        <v>108</v>
      </c>
      <c r="C111" s="12" t="s">
        <v>116</v>
      </c>
      <c r="D111" s="12" t="s">
        <v>1092</v>
      </c>
      <c r="E111" s="12" t="s">
        <v>1093</v>
      </c>
      <c r="F111" s="19"/>
    </row>
    <row r="112" customFormat="false" ht="15" hidden="false" customHeight="false" outlineLevel="0" collapsed="false">
      <c r="A112" s="18" t="s">
        <v>115</v>
      </c>
      <c r="B112" s="12" t="s">
        <v>108</v>
      </c>
      <c r="C112" s="12" t="s">
        <v>116</v>
      </c>
      <c r="D112" s="12" t="s">
        <v>1094</v>
      </c>
      <c r="E112" s="12" t="s">
        <v>1095</v>
      </c>
      <c r="F112" s="19" t="s">
        <v>1096</v>
      </c>
    </row>
    <row r="113" customFormat="false" ht="15" hidden="false" customHeight="false" outlineLevel="0" collapsed="false">
      <c r="A113" s="18" t="s">
        <v>115</v>
      </c>
      <c r="B113" s="12" t="s">
        <v>108</v>
      </c>
      <c r="C113" s="12" t="s">
        <v>116</v>
      </c>
      <c r="D113" s="12" t="s">
        <v>118</v>
      </c>
      <c r="E113" s="12" t="s">
        <v>1097</v>
      </c>
      <c r="F113" s="19" t="s">
        <v>1098</v>
      </c>
    </row>
    <row r="114" customFormat="false" ht="15" hidden="false" customHeight="false" outlineLevel="0" collapsed="false">
      <c r="A114" s="18" t="s">
        <v>115</v>
      </c>
      <c r="B114" s="12" t="s">
        <v>108</v>
      </c>
      <c r="C114" s="12" t="s">
        <v>116</v>
      </c>
      <c r="D114" s="12" t="s">
        <v>1099</v>
      </c>
      <c r="E114" s="12" t="s">
        <v>1100</v>
      </c>
      <c r="F114" s="19"/>
    </row>
    <row r="115" customFormat="false" ht="15" hidden="false" customHeight="false" outlineLevel="0" collapsed="false">
      <c r="A115" s="35" t="s">
        <v>115</v>
      </c>
      <c r="B115" s="34" t="s">
        <v>108</v>
      </c>
      <c r="C115" s="34" t="s">
        <v>116</v>
      </c>
      <c r="D115" s="34" t="s">
        <v>909</v>
      </c>
      <c r="E115" s="34" t="s">
        <v>910</v>
      </c>
      <c r="F115" s="36" t="s">
        <v>911</v>
      </c>
    </row>
    <row r="116" customFormat="false" ht="15" hidden="false" customHeight="false" outlineLevel="0" collapsed="false">
      <c r="A116" s="18" t="s">
        <v>119</v>
      </c>
      <c r="B116" s="12" t="s">
        <v>108</v>
      </c>
      <c r="C116" s="12" t="s">
        <v>120</v>
      </c>
      <c r="D116" s="12" t="s">
        <v>1101</v>
      </c>
      <c r="E116" s="12" t="s">
        <v>1102</v>
      </c>
      <c r="F116" s="19" t="s">
        <v>1103</v>
      </c>
    </row>
    <row r="117" customFormat="false" ht="15" hidden="false" customHeight="false" outlineLevel="0" collapsed="false">
      <c r="A117" s="18" t="s">
        <v>119</v>
      </c>
      <c r="B117" s="12" t="s">
        <v>108</v>
      </c>
      <c r="C117" s="12" t="s">
        <v>120</v>
      </c>
      <c r="D117" s="12" t="s">
        <v>121</v>
      </c>
      <c r="E117" s="12" t="s">
        <v>1104</v>
      </c>
      <c r="F117" s="19" t="s">
        <v>1105</v>
      </c>
    </row>
    <row r="118" customFormat="false" ht="15" hidden="false" customHeight="false" outlineLevel="0" collapsed="false">
      <c r="A118" s="18" t="s">
        <v>119</v>
      </c>
      <c r="B118" s="12" t="s">
        <v>108</v>
      </c>
      <c r="C118" s="12" t="s">
        <v>120</v>
      </c>
      <c r="D118" s="12" t="s">
        <v>1106</v>
      </c>
      <c r="E118" s="12" t="s">
        <v>1107</v>
      </c>
      <c r="F118" s="19" t="s">
        <v>1108</v>
      </c>
    </row>
    <row r="119" customFormat="false" ht="15" hidden="false" customHeight="false" outlineLevel="0" collapsed="false">
      <c r="A119" s="18" t="s">
        <v>119</v>
      </c>
      <c r="B119" s="12" t="s">
        <v>108</v>
      </c>
      <c r="C119" s="12" t="s">
        <v>120</v>
      </c>
      <c r="D119" s="12" t="s">
        <v>1109</v>
      </c>
      <c r="E119" s="12" t="s">
        <v>1110</v>
      </c>
      <c r="F119" s="19" t="s">
        <v>1111</v>
      </c>
    </row>
    <row r="120" customFormat="false" ht="15" hidden="false" customHeight="false" outlineLevel="0" collapsed="false">
      <c r="A120" s="18" t="s">
        <v>119</v>
      </c>
      <c r="B120" s="12" t="s">
        <v>108</v>
      </c>
      <c r="C120" s="12" t="s">
        <v>120</v>
      </c>
      <c r="D120" s="12" t="s">
        <v>1112</v>
      </c>
      <c r="E120" s="12" t="s">
        <v>1113</v>
      </c>
      <c r="F120" s="19" t="s">
        <v>1114</v>
      </c>
    </row>
    <row r="121" customFormat="false" ht="15" hidden="false" customHeight="false" outlineLevel="0" collapsed="false">
      <c r="A121" s="35" t="s">
        <v>119</v>
      </c>
      <c r="B121" s="34" t="s">
        <v>108</v>
      </c>
      <c r="C121" s="34" t="s">
        <v>120</v>
      </c>
      <c r="D121" s="34" t="s">
        <v>909</v>
      </c>
      <c r="E121" s="34" t="s">
        <v>910</v>
      </c>
      <c r="F121" s="36" t="s">
        <v>911</v>
      </c>
    </row>
    <row r="122" customFormat="false" ht="15" hidden="false" customHeight="false" outlineLevel="0" collapsed="false">
      <c r="A122" s="18" t="s">
        <v>122</v>
      </c>
      <c r="B122" s="12" t="s">
        <v>108</v>
      </c>
      <c r="C122" s="12" t="s">
        <v>123</v>
      </c>
      <c r="D122" s="12" t="s">
        <v>366</v>
      </c>
      <c r="E122" s="12" t="s">
        <v>1115</v>
      </c>
      <c r="F122" s="19"/>
    </row>
    <row r="123" customFormat="false" ht="15" hidden="false" customHeight="false" outlineLevel="0" collapsed="false">
      <c r="A123" s="18" t="s">
        <v>122</v>
      </c>
      <c r="B123" s="12" t="s">
        <v>108</v>
      </c>
      <c r="C123" s="12" t="s">
        <v>123</v>
      </c>
      <c r="D123" s="12" t="s">
        <v>1083</v>
      </c>
      <c r="E123" s="12" t="s">
        <v>1116</v>
      </c>
      <c r="F123" s="19"/>
    </row>
    <row r="124" customFormat="false" ht="15" hidden="false" customHeight="false" outlineLevel="0" collapsed="false">
      <c r="A124" s="18" t="s">
        <v>122</v>
      </c>
      <c r="B124" s="12" t="s">
        <v>108</v>
      </c>
      <c r="C124" s="12" t="s">
        <v>123</v>
      </c>
      <c r="D124" s="12" t="s">
        <v>118</v>
      </c>
      <c r="E124" s="12" t="s">
        <v>1117</v>
      </c>
      <c r="F124" s="19"/>
    </row>
    <row r="125" customFormat="false" ht="15" hidden="false" customHeight="false" outlineLevel="0" collapsed="false">
      <c r="A125" s="18" t="s">
        <v>122</v>
      </c>
      <c r="B125" s="12" t="s">
        <v>108</v>
      </c>
      <c r="C125" s="12" t="s">
        <v>123</v>
      </c>
      <c r="D125" s="12" t="s">
        <v>1118</v>
      </c>
      <c r="E125" s="12" t="s">
        <v>1119</v>
      </c>
      <c r="F125" s="19" t="s">
        <v>1120</v>
      </c>
    </row>
    <row r="126" customFormat="false" ht="15" hidden="false" customHeight="false" outlineLevel="0" collapsed="false">
      <c r="A126" s="18" t="s">
        <v>122</v>
      </c>
      <c r="B126" s="12" t="s">
        <v>108</v>
      </c>
      <c r="C126" s="12" t="s">
        <v>123</v>
      </c>
      <c r="D126" s="12" t="s">
        <v>1121</v>
      </c>
      <c r="E126" s="12" t="s">
        <v>1122</v>
      </c>
      <c r="F126" s="19" t="s">
        <v>1123</v>
      </c>
    </row>
    <row r="127" customFormat="false" ht="15" hidden="false" customHeight="false" outlineLevel="0" collapsed="false">
      <c r="A127" s="35" t="s">
        <v>122</v>
      </c>
      <c r="B127" s="34" t="s">
        <v>108</v>
      </c>
      <c r="C127" s="34" t="s">
        <v>123</v>
      </c>
      <c r="D127" s="34" t="s">
        <v>909</v>
      </c>
      <c r="E127" s="34" t="s">
        <v>910</v>
      </c>
      <c r="F127" s="36" t="s">
        <v>911</v>
      </c>
    </row>
    <row r="128" customFormat="false" ht="15" hidden="false" customHeight="false" outlineLevel="0" collapsed="false">
      <c r="A128" s="18" t="s">
        <v>124</v>
      </c>
      <c r="B128" s="12" t="s">
        <v>108</v>
      </c>
      <c r="C128" s="12" t="s">
        <v>125</v>
      </c>
      <c r="D128" s="12" t="s">
        <v>1029</v>
      </c>
      <c r="E128" s="12" t="s">
        <v>1124</v>
      </c>
      <c r="F128" s="19"/>
    </row>
    <row r="129" customFormat="false" ht="15" hidden="false" customHeight="false" outlineLevel="0" collapsed="false">
      <c r="A129" s="18" t="s">
        <v>124</v>
      </c>
      <c r="B129" s="12" t="s">
        <v>108</v>
      </c>
      <c r="C129" s="12" t="s">
        <v>125</v>
      </c>
      <c r="D129" s="12" t="s">
        <v>126</v>
      </c>
      <c r="E129" s="12" t="s">
        <v>1125</v>
      </c>
      <c r="F129" s="19" t="s">
        <v>1126</v>
      </c>
    </row>
    <row r="130" customFormat="false" ht="15" hidden="false" customHeight="false" outlineLevel="0" collapsed="false">
      <c r="A130" s="18" t="s">
        <v>124</v>
      </c>
      <c r="B130" s="12" t="s">
        <v>108</v>
      </c>
      <c r="C130" s="12" t="s">
        <v>125</v>
      </c>
      <c r="D130" s="12" t="s">
        <v>1127</v>
      </c>
      <c r="E130" s="12" t="s">
        <v>1128</v>
      </c>
      <c r="F130" s="19"/>
    </row>
    <row r="131" customFormat="false" ht="15" hidden="false" customHeight="false" outlineLevel="0" collapsed="false">
      <c r="A131" s="18" t="s">
        <v>124</v>
      </c>
      <c r="B131" s="12" t="s">
        <v>108</v>
      </c>
      <c r="C131" s="12" t="s">
        <v>125</v>
      </c>
      <c r="D131" s="12" t="s">
        <v>1129</v>
      </c>
      <c r="E131" s="12" t="s">
        <v>1130</v>
      </c>
      <c r="F131" s="19" t="s">
        <v>1131</v>
      </c>
    </row>
    <row r="132" customFormat="false" ht="15" hidden="false" customHeight="false" outlineLevel="0" collapsed="false">
      <c r="A132" s="18" t="s">
        <v>124</v>
      </c>
      <c r="B132" s="12" t="s">
        <v>108</v>
      </c>
      <c r="C132" s="12" t="s">
        <v>125</v>
      </c>
      <c r="D132" s="12" t="s">
        <v>1132</v>
      </c>
      <c r="E132" s="12" t="s">
        <v>1133</v>
      </c>
      <c r="F132" s="19"/>
    </row>
    <row r="133" customFormat="false" ht="15" hidden="false" customHeight="false" outlineLevel="0" collapsed="false">
      <c r="A133" s="35" t="s">
        <v>124</v>
      </c>
      <c r="B133" s="34" t="s">
        <v>108</v>
      </c>
      <c r="C133" s="34" t="s">
        <v>125</v>
      </c>
      <c r="D133" s="34" t="s">
        <v>909</v>
      </c>
      <c r="E133" s="34" t="s">
        <v>910</v>
      </c>
      <c r="F133" s="36" t="s">
        <v>911</v>
      </c>
    </row>
    <row r="134" customFormat="false" ht="15" hidden="false" customHeight="false" outlineLevel="0" collapsed="false">
      <c r="A134" s="18" t="s">
        <v>127</v>
      </c>
      <c r="B134" s="12" t="s">
        <v>108</v>
      </c>
      <c r="C134" s="12" t="s">
        <v>128</v>
      </c>
      <c r="D134" s="12" t="s">
        <v>75</v>
      </c>
      <c r="E134" s="12" t="s">
        <v>1091</v>
      </c>
      <c r="F134" s="19"/>
    </row>
    <row r="135" customFormat="false" ht="15" hidden="false" customHeight="false" outlineLevel="0" collapsed="false">
      <c r="A135" s="18" t="s">
        <v>127</v>
      </c>
      <c r="B135" s="12" t="s">
        <v>108</v>
      </c>
      <c r="C135" s="12" t="s">
        <v>128</v>
      </c>
      <c r="D135" s="12" t="s">
        <v>1134</v>
      </c>
      <c r="E135" s="12" t="s">
        <v>1135</v>
      </c>
      <c r="F135" s="19"/>
    </row>
    <row r="136" customFormat="false" ht="15" hidden="false" customHeight="false" outlineLevel="0" collapsed="false">
      <c r="A136" s="18" t="s">
        <v>127</v>
      </c>
      <c r="B136" s="12" t="s">
        <v>108</v>
      </c>
      <c r="C136" s="12" t="s">
        <v>128</v>
      </c>
      <c r="D136" s="12" t="s">
        <v>1136</v>
      </c>
      <c r="E136" s="12" t="s">
        <v>1137</v>
      </c>
      <c r="F136" s="19"/>
    </row>
    <row r="137" customFormat="false" ht="15" hidden="false" customHeight="false" outlineLevel="0" collapsed="false">
      <c r="A137" s="18" t="s">
        <v>127</v>
      </c>
      <c r="B137" s="12" t="s">
        <v>108</v>
      </c>
      <c r="C137" s="12" t="s">
        <v>128</v>
      </c>
      <c r="D137" s="12" t="s">
        <v>1138</v>
      </c>
      <c r="E137" s="12" t="s">
        <v>1139</v>
      </c>
      <c r="F137" s="19"/>
    </row>
    <row r="138" customFormat="false" ht="15" hidden="false" customHeight="false" outlineLevel="0" collapsed="false">
      <c r="A138" s="18" t="s">
        <v>127</v>
      </c>
      <c r="B138" s="12" t="s">
        <v>108</v>
      </c>
      <c r="C138" s="12" t="s">
        <v>128</v>
      </c>
      <c r="D138" s="12" t="s">
        <v>1140</v>
      </c>
      <c r="E138" s="12" t="s">
        <v>1141</v>
      </c>
      <c r="F138" s="19"/>
    </row>
    <row r="139" customFormat="false" ht="15" hidden="false" customHeight="false" outlineLevel="0" collapsed="false">
      <c r="A139" s="18" t="s">
        <v>127</v>
      </c>
      <c r="B139" s="12" t="s">
        <v>108</v>
      </c>
      <c r="C139" s="12" t="s">
        <v>128</v>
      </c>
      <c r="D139" s="12" t="s">
        <v>1142</v>
      </c>
      <c r="E139" s="12" t="s">
        <v>1143</v>
      </c>
      <c r="F139" s="19"/>
    </row>
    <row r="140" customFormat="false" ht="15" hidden="false" customHeight="false" outlineLevel="0" collapsed="false">
      <c r="A140" s="18" t="s">
        <v>127</v>
      </c>
      <c r="B140" s="12" t="s">
        <v>108</v>
      </c>
      <c r="C140" s="12" t="s">
        <v>128</v>
      </c>
      <c r="D140" s="12" t="s">
        <v>1144</v>
      </c>
      <c r="E140" s="12" t="s">
        <v>1145</v>
      </c>
      <c r="F140" s="19"/>
    </row>
    <row r="141" customFormat="false" ht="15" hidden="false" customHeight="false" outlineLevel="0" collapsed="false">
      <c r="A141" s="35" t="s">
        <v>127</v>
      </c>
      <c r="B141" s="34" t="s">
        <v>108</v>
      </c>
      <c r="C141" s="34" t="s">
        <v>128</v>
      </c>
      <c r="D141" s="34" t="s">
        <v>909</v>
      </c>
      <c r="E141" s="34" t="s">
        <v>910</v>
      </c>
      <c r="F141" s="36" t="s">
        <v>911</v>
      </c>
    </row>
    <row r="142" customFormat="false" ht="15" hidden="false" customHeight="false" outlineLevel="0" collapsed="false">
      <c r="A142" s="18" t="s">
        <v>129</v>
      </c>
      <c r="B142" s="12" t="s">
        <v>108</v>
      </c>
      <c r="C142" s="12" t="s">
        <v>130</v>
      </c>
      <c r="D142" s="12" t="s">
        <v>131</v>
      </c>
      <c r="E142" s="12" t="s">
        <v>1146</v>
      </c>
      <c r="F142" s="19"/>
    </row>
    <row r="143" customFormat="false" ht="15" hidden="false" customHeight="false" outlineLevel="0" collapsed="false">
      <c r="A143" s="18" t="s">
        <v>129</v>
      </c>
      <c r="B143" s="12" t="s">
        <v>108</v>
      </c>
      <c r="C143" s="12" t="s">
        <v>130</v>
      </c>
      <c r="D143" s="12" t="s">
        <v>1147</v>
      </c>
      <c r="E143" s="12" t="s">
        <v>1148</v>
      </c>
      <c r="F143" s="19"/>
    </row>
    <row r="144" customFormat="false" ht="15" hidden="false" customHeight="false" outlineLevel="0" collapsed="false">
      <c r="A144" s="18" t="s">
        <v>129</v>
      </c>
      <c r="B144" s="12" t="s">
        <v>108</v>
      </c>
      <c r="C144" s="12" t="s">
        <v>130</v>
      </c>
      <c r="D144" s="12" t="s">
        <v>1149</v>
      </c>
      <c r="E144" s="12" t="s">
        <v>1150</v>
      </c>
      <c r="F144" s="19"/>
    </row>
    <row r="145" customFormat="false" ht="15" hidden="false" customHeight="false" outlineLevel="0" collapsed="false">
      <c r="A145" s="18" t="s">
        <v>129</v>
      </c>
      <c r="B145" s="12" t="s">
        <v>108</v>
      </c>
      <c r="C145" s="12" t="s">
        <v>130</v>
      </c>
      <c r="D145" s="12" t="s">
        <v>1151</v>
      </c>
      <c r="E145" s="12" t="s">
        <v>1152</v>
      </c>
      <c r="F145" s="19"/>
    </row>
    <row r="146" customFormat="false" ht="15" hidden="false" customHeight="false" outlineLevel="0" collapsed="false">
      <c r="A146" s="18" t="s">
        <v>129</v>
      </c>
      <c r="B146" s="12" t="s">
        <v>108</v>
      </c>
      <c r="C146" s="12" t="s">
        <v>130</v>
      </c>
      <c r="D146" s="12" t="s">
        <v>1153</v>
      </c>
      <c r="E146" s="12" t="s">
        <v>1154</v>
      </c>
      <c r="F146" s="19" t="s">
        <v>1155</v>
      </c>
    </row>
    <row r="147" customFormat="false" ht="15" hidden="false" customHeight="false" outlineLevel="0" collapsed="false">
      <c r="A147" s="18" t="s">
        <v>129</v>
      </c>
      <c r="B147" s="12" t="s">
        <v>108</v>
      </c>
      <c r="C147" s="12" t="s">
        <v>130</v>
      </c>
      <c r="D147" s="12" t="s">
        <v>1156</v>
      </c>
      <c r="E147" s="12" t="s">
        <v>1157</v>
      </c>
      <c r="F147" s="19"/>
    </row>
    <row r="148" customFormat="false" ht="15" hidden="false" customHeight="false" outlineLevel="0" collapsed="false">
      <c r="A148" s="18" t="s">
        <v>129</v>
      </c>
      <c r="B148" s="12" t="s">
        <v>108</v>
      </c>
      <c r="C148" s="12" t="s">
        <v>130</v>
      </c>
      <c r="D148" s="12" t="s">
        <v>1158</v>
      </c>
      <c r="E148" s="12" t="s">
        <v>1159</v>
      </c>
      <c r="F148" s="19"/>
    </row>
    <row r="149" customFormat="false" ht="15" hidden="false" customHeight="false" outlineLevel="0" collapsed="false">
      <c r="A149" s="18" t="s">
        <v>129</v>
      </c>
      <c r="B149" s="12" t="s">
        <v>108</v>
      </c>
      <c r="C149" s="12" t="s">
        <v>130</v>
      </c>
      <c r="D149" s="12" t="s">
        <v>1160</v>
      </c>
      <c r="E149" s="12" t="s">
        <v>1161</v>
      </c>
      <c r="F149" s="19"/>
    </row>
    <row r="150" customFormat="false" ht="15" hidden="false" customHeight="false" outlineLevel="0" collapsed="false">
      <c r="A150" s="18" t="s">
        <v>129</v>
      </c>
      <c r="B150" s="12" t="s">
        <v>108</v>
      </c>
      <c r="C150" s="12" t="s">
        <v>130</v>
      </c>
      <c r="D150" s="12" t="s">
        <v>883</v>
      </c>
      <c r="E150" s="12" t="s">
        <v>1162</v>
      </c>
      <c r="F150" s="19"/>
    </row>
    <row r="151" customFormat="false" ht="15" hidden="false" customHeight="false" outlineLevel="0" collapsed="false">
      <c r="A151" s="18" t="s">
        <v>129</v>
      </c>
      <c r="B151" s="12" t="s">
        <v>108</v>
      </c>
      <c r="C151" s="12" t="s">
        <v>130</v>
      </c>
      <c r="D151" s="12" t="s">
        <v>974</v>
      </c>
      <c r="E151" s="12" t="s">
        <v>1163</v>
      </c>
      <c r="F151" s="19"/>
    </row>
    <row r="152" customFormat="false" ht="15" hidden="false" customHeight="false" outlineLevel="0" collapsed="false">
      <c r="A152" s="18" t="s">
        <v>129</v>
      </c>
      <c r="B152" s="12" t="s">
        <v>108</v>
      </c>
      <c r="C152" s="12" t="s">
        <v>130</v>
      </c>
      <c r="D152" s="12" t="s">
        <v>1164</v>
      </c>
      <c r="E152" s="12" t="s">
        <v>1165</v>
      </c>
      <c r="F152" s="19"/>
    </row>
    <row r="153" customFormat="false" ht="23.85" hidden="false" customHeight="false" outlineLevel="0" collapsed="false">
      <c r="A153" s="18" t="s">
        <v>129</v>
      </c>
      <c r="B153" s="12" t="s">
        <v>108</v>
      </c>
      <c r="C153" s="12" t="s">
        <v>130</v>
      </c>
      <c r="D153" s="12" t="s">
        <v>1166</v>
      </c>
      <c r="E153" s="12" t="s">
        <v>1167</v>
      </c>
      <c r="F153" s="19" t="s">
        <v>1168</v>
      </c>
    </row>
    <row r="154" customFormat="false" ht="15" hidden="false" customHeight="false" outlineLevel="0" collapsed="false">
      <c r="A154" s="35" t="s">
        <v>129</v>
      </c>
      <c r="B154" s="34" t="s">
        <v>108</v>
      </c>
      <c r="C154" s="34" t="s">
        <v>130</v>
      </c>
      <c r="D154" s="34" t="s">
        <v>909</v>
      </c>
      <c r="E154" s="34" t="s">
        <v>910</v>
      </c>
      <c r="F154" s="36" t="s">
        <v>911</v>
      </c>
    </row>
    <row r="155" customFormat="false" ht="15" hidden="false" customHeight="false" outlineLevel="0" collapsed="false">
      <c r="A155" s="18" t="s">
        <v>132</v>
      </c>
      <c r="B155" s="12" t="s">
        <v>108</v>
      </c>
      <c r="C155" s="12" t="s">
        <v>133</v>
      </c>
      <c r="D155" s="12" t="s">
        <v>106</v>
      </c>
      <c r="E155" s="12" t="s">
        <v>1091</v>
      </c>
      <c r="F155" s="19"/>
    </row>
    <row r="156" customFormat="false" ht="15" hidden="false" customHeight="false" outlineLevel="0" collapsed="false">
      <c r="A156" s="18" t="s">
        <v>132</v>
      </c>
      <c r="B156" s="12" t="s">
        <v>108</v>
      </c>
      <c r="C156" s="12" t="s">
        <v>133</v>
      </c>
      <c r="D156" s="12" t="s">
        <v>366</v>
      </c>
      <c r="E156" s="12" t="s">
        <v>1169</v>
      </c>
      <c r="F156" s="19"/>
    </row>
    <row r="157" customFormat="false" ht="15" hidden="false" customHeight="false" outlineLevel="0" collapsed="false">
      <c r="A157" s="18" t="s">
        <v>132</v>
      </c>
      <c r="B157" s="12" t="s">
        <v>108</v>
      </c>
      <c r="C157" s="12" t="s">
        <v>133</v>
      </c>
      <c r="D157" s="12" t="s">
        <v>1170</v>
      </c>
      <c r="E157" s="12" t="s">
        <v>1171</v>
      </c>
      <c r="F157" s="19" t="s">
        <v>1172</v>
      </c>
    </row>
    <row r="158" customFormat="false" ht="15" hidden="false" customHeight="false" outlineLevel="0" collapsed="false">
      <c r="A158" s="18" t="s">
        <v>132</v>
      </c>
      <c r="B158" s="12" t="s">
        <v>108</v>
      </c>
      <c r="C158" s="12" t="s">
        <v>133</v>
      </c>
      <c r="D158" s="12" t="s">
        <v>1173</v>
      </c>
      <c r="E158" s="12" t="s">
        <v>1174</v>
      </c>
      <c r="F158" s="19" t="s">
        <v>1175</v>
      </c>
    </row>
    <row r="159" customFormat="false" ht="15" hidden="false" customHeight="false" outlineLevel="0" collapsed="false">
      <c r="A159" s="35" t="s">
        <v>132</v>
      </c>
      <c r="B159" s="34" t="s">
        <v>108</v>
      </c>
      <c r="C159" s="34" t="s">
        <v>133</v>
      </c>
      <c r="D159" s="34" t="s">
        <v>909</v>
      </c>
      <c r="E159" s="34" t="s">
        <v>910</v>
      </c>
      <c r="F159" s="36" t="s">
        <v>911</v>
      </c>
    </row>
    <row r="160" customFormat="false" ht="15" hidden="false" customHeight="false" outlineLevel="0" collapsed="false">
      <c r="A160" s="18" t="s">
        <v>134</v>
      </c>
      <c r="B160" s="12" t="s">
        <v>135</v>
      </c>
      <c r="C160" s="12" t="s">
        <v>136</v>
      </c>
      <c r="D160" s="12" t="s">
        <v>1176</v>
      </c>
      <c r="E160" s="12" t="s">
        <v>1177</v>
      </c>
      <c r="F160" s="19" t="s">
        <v>1178</v>
      </c>
    </row>
    <row r="161" customFormat="false" ht="15" hidden="false" customHeight="false" outlineLevel="0" collapsed="false">
      <c r="A161" s="18" t="s">
        <v>134</v>
      </c>
      <c r="B161" s="12" t="s">
        <v>135</v>
      </c>
      <c r="C161" s="12" t="s">
        <v>136</v>
      </c>
      <c r="D161" s="12" t="s">
        <v>137</v>
      </c>
      <c r="E161" s="12" t="s">
        <v>1179</v>
      </c>
      <c r="F161" s="19" t="s">
        <v>1180</v>
      </c>
    </row>
    <row r="162" customFormat="false" ht="15" hidden="false" customHeight="false" outlineLevel="0" collapsed="false">
      <c r="A162" s="18" t="s">
        <v>134</v>
      </c>
      <c r="B162" s="12" t="s">
        <v>135</v>
      </c>
      <c r="C162" s="12" t="s">
        <v>136</v>
      </c>
      <c r="D162" s="12" t="s">
        <v>140</v>
      </c>
      <c r="E162" s="12" t="s">
        <v>1181</v>
      </c>
      <c r="F162" s="19" t="s">
        <v>1182</v>
      </c>
    </row>
    <row r="163" customFormat="false" ht="15" hidden="false" customHeight="false" outlineLevel="0" collapsed="false">
      <c r="A163" s="18" t="s">
        <v>134</v>
      </c>
      <c r="B163" s="12" t="s">
        <v>135</v>
      </c>
      <c r="C163" s="12" t="s">
        <v>136</v>
      </c>
      <c r="D163" s="12" t="s">
        <v>1183</v>
      </c>
      <c r="E163" s="12" t="s">
        <v>1184</v>
      </c>
      <c r="F163" s="19" t="s">
        <v>1185</v>
      </c>
    </row>
    <row r="164" customFormat="false" ht="15" hidden="false" customHeight="false" outlineLevel="0" collapsed="false">
      <c r="A164" s="35" t="s">
        <v>134</v>
      </c>
      <c r="B164" s="34" t="s">
        <v>135</v>
      </c>
      <c r="C164" s="34" t="s">
        <v>136</v>
      </c>
      <c r="D164" s="34" t="s">
        <v>909</v>
      </c>
      <c r="E164" s="34" t="s">
        <v>910</v>
      </c>
      <c r="F164" s="36" t="s">
        <v>911</v>
      </c>
    </row>
    <row r="165" customFormat="false" ht="15" hidden="false" customHeight="false" outlineLevel="0" collapsed="false">
      <c r="A165" s="18" t="s">
        <v>138</v>
      </c>
      <c r="B165" s="12" t="s">
        <v>135</v>
      </c>
      <c r="C165" s="12" t="s">
        <v>139</v>
      </c>
      <c r="D165" s="12" t="s">
        <v>1086</v>
      </c>
      <c r="E165" s="12" t="s">
        <v>1087</v>
      </c>
      <c r="F165" s="19"/>
    </row>
    <row r="166" customFormat="false" ht="15" hidden="false" customHeight="false" outlineLevel="0" collapsed="false">
      <c r="A166" s="18" t="s">
        <v>138</v>
      </c>
      <c r="B166" s="12" t="s">
        <v>135</v>
      </c>
      <c r="C166" s="12" t="s">
        <v>139</v>
      </c>
      <c r="D166" s="12" t="s">
        <v>137</v>
      </c>
      <c r="E166" s="12" t="s">
        <v>1186</v>
      </c>
      <c r="F166" s="19"/>
    </row>
    <row r="167" customFormat="false" ht="15" hidden="false" customHeight="false" outlineLevel="0" collapsed="false">
      <c r="A167" s="18" t="s">
        <v>138</v>
      </c>
      <c r="B167" s="12" t="s">
        <v>135</v>
      </c>
      <c r="C167" s="12" t="s">
        <v>139</v>
      </c>
      <c r="D167" s="12" t="s">
        <v>140</v>
      </c>
      <c r="E167" s="12" t="s">
        <v>1187</v>
      </c>
      <c r="F167" s="19" t="s">
        <v>1188</v>
      </c>
    </row>
    <row r="168" customFormat="false" ht="15" hidden="false" customHeight="false" outlineLevel="0" collapsed="false">
      <c r="A168" s="18" t="s">
        <v>138</v>
      </c>
      <c r="B168" s="12" t="s">
        <v>135</v>
      </c>
      <c r="C168" s="12" t="s">
        <v>139</v>
      </c>
      <c r="D168" s="12" t="s">
        <v>1183</v>
      </c>
      <c r="E168" s="12" t="s">
        <v>1189</v>
      </c>
      <c r="F168" s="19" t="s">
        <v>1190</v>
      </c>
    </row>
    <row r="169" customFormat="false" ht="15" hidden="false" customHeight="false" outlineLevel="0" collapsed="false">
      <c r="A169" s="35" t="s">
        <v>138</v>
      </c>
      <c r="B169" s="34" t="s">
        <v>135</v>
      </c>
      <c r="C169" s="34" t="s">
        <v>139</v>
      </c>
      <c r="D169" s="34" t="s">
        <v>909</v>
      </c>
      <c r="E169" s="34" t="s">
        <v>910</v>
      </c>
      <c r="F169" s="36" t="s">
        <v>911</v>
      </c>
    </row>
    <row r="170" customFormat="false" ht="15" hidden="false" customHeight="false" outlineLevel="0" collapsed="false">
      <c r="A170" s="18" t="s">
        <v>141</v>
      </c>
      <c r="B170" s="12" t="s">
        <v>135</v>
      </c>
      <c r="C170" s="12" t="s">
        <v>142</v>
      </c>
      <c r="D170" s="12" t="s">
        <v>1191</v>
      </c>
      <c r="E170" s="12" t="s">
        <v>1192</v>
      </c>
      <c r="F170" s="19"/>
    </row>
    <row r="171" customFormat="false" ht="15" hidden="false" customHeight="false" outlineLevel="0" collapsed="false">
      <c r="A171" s="18" t="s">
        <v>141</v>
      </c>
      <c r="B171" s="12" t="s">
        <v>135</v>
      </c>
      <c r="C171" s="12" t="s">
        <v>142</v>
      </c>
      <c r="D171" s="12" t="s">
        <v>1193</v>
      </c>
      <c r="E171" s="12" t="s">
        <v>1194</v>
      </c>
      <c r="F171" s="19" t="s">
        <v>1195</v>
      </c>
    </row>
    <row r="172" customFormat="false" ht="15" hidden="false" customHeight="false" outlineLevel="0" collapsed="false">
      <c r="A172" s="18" t="s">
        <v>141</v>
      </c>
      <c r="B172" s="12" t="s">
        <v>135</v>
      </c>
      <c r="C172" s="12" t="s">
        <v>142</v>
      </c>
      <c r="D172" s="12" t="s">
        <v>1196</v>
      </c>
      <c r="E172" s="12" t="s">
        <v>1197</v>
      </c>
      <c r="F172" s="19" t="s">
        <v>1198</v>
      </c>
    </row>
    <row r="173" customFormat="false" ht="15" hidden="false" customHeight="false" outlineLevel="0" collapsed="false">
      <c r="A173" s="18" t="s">
        <v>141</v>
      </c>
      <c r="B173" s="12" t="s">
        <v>135</v>
      </c>
      <c r="C173" s="12" t="s">
        <v>142</v>
      </c>
      <c r="D173" s="12" t="s">
        <v>1199</v>
      </c>
      <c r="E173" s="12" t="s">
        <v>1200</v>
      </c>
      <c r="F173" s="19"/>
    </row>
    <row r="174" customFormat="false" ht="15" hidden="false" customHeight="false" outlineLevel="0" collapsed="false">
      <c r="A174" s="18" t="s">
        <v>141</v>
      </c>
      <c r="B174" s="12" t="s">
        <v>135</v>
      </c>
      <c r="C174" s="12" t="s">
        <v>142</v>
      </c>
      <c r="D174" s="12" t="s">
        <v>1201</v>
      </c>
      <c r="E174" s="12" t="s">
        <v>1202</v>
      </c>
      <c r="F174" s="19"/>
    </row>
    <row r="175" customFormat="false" ht="15" hidden="false" customHeight="false" outlineLevel="0" collapsed="false">
      <c r="A175" s="18" t="s">
        <v>141</v>
      </c>
      <c r="B175" s="12" t="s">
        <v>135</v>
      </c>
      <c r="C175" s="12" t="s">
        <v>142</v>
      </c>
      <c r="D175" s="12" t="s">
        <v>1203</v>
      </c>
      <c r="E175" s="12" t="s">
        <v>1204</v>
      </c>
      <c r="F175" s="19"/>
    </row>
    <row r="176" customFormat="false" ht="15" hidden="false" customHeight="false" outlineLevel="0" collapsed="false">
      <c r="A176" s="18" t="s">
        <v>141</v>
      </c>
      <c r="B176" s="12" t="s">
        <v>135</v>
      </c>
      <c r="C176" s="12" t="s">
        <v>142</v>
      </c>
      <c r="D176" s="12" t="s">
        <v>1205</v>
      </c>
      <c r="E176" s="12" t="s">
        <v>1206</v>
      </c>
      <c r="F176" s="19"/>
    </row>
    <row r="177" customFormat="false" ht="15" hidden="false" customHeight="false" outlineLevel="0" collapsed="false">
      <c r="A177" s="18" t="s">
        <v>141</v>
      </c>
      <c r="B177" s="12" t="s">
        <v>135</v>
      </c>
      <c r="C177" s="12" t="s">
        <v>142</v>
      </c>
      <c r="D177" s="12" t="s">
        <v>903</v>
      </c>
      <c r="E177" s="12" t="s">
        <v>1207</v>
      </c>
      <c r="F177" s="19"/>
    </row>
    <row r="178" customFormat="false" ht="15" hidden="false" customHeight="false" outlineLevel="0" collapsed="false">
      <c r="A178" s="18" t="s">
        <v>141</v>
      </c>
      <c r="B178" s="12" t="s">
        <v>135</v>
      </c>
      <c r="C178" s="12" t="s">
        <v>142</v>
      </c>
      <c r="D178" s="12" t="s">
        <v>1208</v>
      </c>
      <c r="E178" s="12" t="s">
        <v>1209</v>
      </c>
      <c r="F178" s="19"/>
    </row>
    <row r="179" customFormat="false" ht="15" hidden="false" customHeight="false" outlineLevel="0" collapsed="false">
      <c r="A179" s="18" t="s">
        <v>141</v>
      </c>
      <c r="B179" s="12" t="s">
        <v>135</v>
      </c>
      <c r="C179" s="12" t="s">
        <v>142</v>
      </c>
      <c r="D179" s="12" t="s">
        <v>1210</v>
      </c>
      <c r="E179" s="12" t="s">
        <v>1211</v>
      </c>
      <c r="F179" s="19"/>
    </row>
    <row r="180" customFormat="false" ht="15" hidden="false" customHeight="false" outlineLevel="0" collapsed="false">
      <c r="A180" s="35" t="s">
        <v>141</v>
      </c>
      <c r="B180" s="34" t="s">
        <v>135</v>
      </c>
      <c r="C180" s="34" t="s">
        <v>142</v>
      </c>
      <c r="D180" s="34" t="s">
        <v>909</v>
      </c>
      <c r="E180" s="34" t="s">
        <v>910</v>
      </c>
      <c r="F180" s="36" t="s">
        <v>911</v>
      </c>
    </row>
    <row r="181" customFormat="false" ht="15" hidden="false" customHeight="false" outlineLevel="0" collapsed="false">
      <c r="A181" s="18" t="s">
        <v>144</v>
      </c>
      <c r="B181" s="12" t="s">
        <v>135</v>
      </c>
      <c r="C181" s="12" t="s">
        <v>145</v>
      </c>
      <c r="D181" s="12" t="s">
        <v>1212</v>
      </c>
      <c r="E181" s="12" t="s">
        <v>1213</v>
      </c>
      <c r="F181" s="19"/>
    </row>
    <row r="182" customFormat="false" ht="15" hidden="false" customHeight="false" outlineLevel="0" collapsed="false">
      <c r="A182" s="18" t="s">
        <v>144</v>
      </c>
      <c r="B182" s="12" t="s">
        <v>135</v>
      </c>
      <c r="C182" s="12" t="s">
        <v>145</v>
      </c>
      <c r="D182" s="12" t="s">
        <v>1203</v>
      </c>
      <c r="E182" s="12" t="s">
        <v>1214</v>
      </c>
      <c r="F182" s="19"/>
    </row>
    <row r="183" customFormat="false" ht="15" hidden="false" customHeight="false" outlineLevel="0" collapsed="false">
      <c r="A183" s="18" t="s">
        <v>144</v>
      </c>
      <c r="B183" s="12" t="s">
        <v>135</v>
      </c>
      <c r="C183" s="12" t="s">
        <v>145</v>
      </c>
      <c r="D183" s="12" t="s">
        <v>1215</v>
      </c>
      <c r="E183" s="12" t="s">
        <v>1216</v>
      </c>
      <c r="F183" s="19"/>
    </row>
    <row r="184" customFormat="false" ht="15" hidden="false" customHeight="false" outlineLevel="0" collapsed="false">
      <c r="A184" s="18" t="s">
        <v>144</v>
      </c>
      <c r="B184" s="12" t="s">
        <v>135</v>
      </c>
      <c r="C184" s="12" t="s">
        <v>145</v>
      </c>
      <c r="D184" s="12" t="s">
        <v>146</v>
      </c>
      <c r="E184" s="12" t="s">
        <v>1217</v>
      </c>
      <c r="F184" s="19" t="s">
        <v>1218</v>
      </c>
    </row>
    <row r="185" customFormat="false" ht="15" hidden="false" customHeight="false" outlineLevel="0" collapsed="false">
      <c r="A185" s="18" t="s">
        <v>144</v>
      </c>
      <c r="B185" s="12" t="s">
        <v>135</v>
      </c>
      <c r="C185" s="12" t="s">
        <v>145</v>
      </c>
      <c r="D185" s="12" t="s">
        <v>1219</v>
      </c>
      <c r="E185" s="12" t="s">
        <v>1220</v>
      </c>
      <c r="F185" s="19" t="s">
        <v>1221</v>
      </c>
    </row>
    <row r="186" customFormat="false" ht="15" hidden="false" customHeight="false" outlineLevel="0" collapsed="false">
      <c r="A186" s="18" t="s">
        <v>144</v>
      </c>
      <c r="B186" s="12" t="s">
        <v>135</v>
      </c>
      <c r="C186" s="12" t="s">
        <v>145</v>
      </c>
      <c r="D186" s="12" t="s">
        <v>1222</v>
      </c>
      <c r="E186" s="12" t="s">
        <v>1223</v>
      </c>
      <c r="F186" s="19" t="s">
        <v>1224</v>
      </c>
    </row>
    <row r="187" customFormat="false" ht="15" hidden="false" customHeight="false" outlineLevel="0" collapsed="false">
      <c r="A187" s="18" t="s">
        <v>144</v>
      </c>
      <c r="B187" s="12" t="s">
        <v>135</v>
      </c>
      <c r="C187" s="12" t="s">
        <v>145</v>
      </c>
      <c r="D187" s="12" t="s">
        <v>75</v>
      </c>
      <c r="E187" s="12" t="s">
        <v>1225</v>
      </c>
      <c r="F187" s="19" t="s">
        <v>1226</v>
      </c>
    </row>
    <row r="188" customFormat="false" ht="15" hidden="false" customHeight="false" outlineLevel="0" collapsed="false">
      <c r="A188" s="35" t="s">
        <v>144</v>
      </c>
      <c r="B188" s="34" t="s">
        <v>135</v>
      </c>
      <c r="C188" s="34" t="s">
        <v>145</v>
      </c>
      <c r="D188" s="34" t="s">
        <v>909</v>
      </c>
      <c r="E188" s="34" t="s">
        <v>910</v>
      </c>
      <c r="F188" s="36" t="s">
        <v>911</v>
      </c>
    </row>
    <row r="189" customFormat="false" ht="15" hidden="false" customHeight="false" outlineLevel="0" collapsed="false">
      <c r="A189" s="18" t="s">
        <v>147</v>
      </c>
      <c r="B189" s="12" t="s">
        <v>135</v>
      </c>
      <c r="C189" s="12" t="s">
        <v>148</v>
      </c>
      <c r="D189" s="12" t="s">
        <v>1227</v>
      </c>
      <c r="E189" s="12" t="s">
        <v>1228</v>
      </c>
      <c r="F189" s="19"/>
    </row>
    <row r="190" customFormat="false" ht="15" hidden="false" customHeight="false" outlineLevel="0" collapsed="false">
      <c r="A190" s="18" t="s">
        <v>147</v>
      </c>
      <c r="B190" s="12" t="s">
        <v>135</v>
      </c>
      <c r="C190" s="12" t="s">
        <v>148</v>
      </c>
      <c r="D190" s="12" t="s">
        <v>149</v>
      </c>
      <c r="E190" s="12" t="s">
        <v>1229</v>
      </c>
      <c r="F190" s="19"/>
    </row>
    <row r="191" customFormat="false" ht="15" hidden="false" customHeight="false" outlineLevel="0" collapsed="false">
      <c r="A191" s="18" t="s">
        <v>147</v>
      </c>
      <c r="B191" s="12" t="s">
        <v>135</v>
      </c>
      <c r="C191" s="12" t="s">
        <v>148</v>
      </c>
      <c r="D191" s="12" t="s">
        <v>1230</v>
      </c>
      <c r="E191" s="12" t="s">
        <v>1231</v>
      </c>
      <c r="F191" s="19"/>
    </row>
    <row r="192" customFormat="false" ht="15" hidden="false" customHeight="false" outlineLevel="0" collapsed="false">
      <c r="A192" s="18" t="s">
        <v>147</v>
      </c>
      <c r="B192" s="12" t="s">
        <v>135</v>
      </c>
      <c r="C192" s="12" t="s">
        <v>148</v>
      </c>
      <c r="D192" s="12" t="s">
        <v>1232</v>
      </c>
      <c r="E192" s="12" t="s">
        <v>1233</v>
      </c>
      <c r="F192" s="19"/>
    </row>
    <row r="193" customFormat="false" ht="15" hidden="false" customHeight="false" outlineLevel="0" collapsed="false">
      <c r="A193" s="35" t="s">
        <v>147</v>
      </c>
      <c r="B193" s="34" t="s">
        <v>135</v>
      </c>
      <c r="C193" s="34" t="s">
        <v>148</v>
      </c>
      <c r="D193" s="34" t="s">
        <v>909</v>
      </c>
      <c r="E193" s="34" t="s">
        <v>910</v>
      </c>
      <c r="F193" s="36" t="s">
        <v>911</v>
      </c>
    </row>
    <row r="194" customFormat="false" ht="15" hidden="false" customHeight="false" outlineLevel="0" collapsed="false">
      <c r="A194" s="18" t="s">
        <v>150</v>
      </c>
      <c r="B194" s="12" t="s">
        <v>135</v>
      </c>
      <c r="C194" s="12" t="s">
        <v>151</v>
      </c>
      <c r="D194" s="12" t="s">
        <v>1234</v>
      </c>
      <c r="E194" s="12" t="s">
        <v>1235</v>
      </c>
      <c r="F194" s="19" t="s">
        <v>1236</v>
      </c>
    </row>
    <row r="195" customFormat="false" ht="15" hidden="false" customHeight="false" outlineLevel="0" collapsed="false">
      <c r="A195" s="18" t="s">
        <v>150</v>
      </c>
      <c r="B195" s="12" t="s">
        <v>135</v>
      </c>
      <c r="C195" s="12" t="s">
        <v>151</v>
      </c>
      <c r="D195" s="12" t="s">
        <v>152</v>
      </c>
      <c r="E195" s="12" t="s">
        <v>1237</v>
      </c>
      <c r="F195" s="19" t="s">
        <v>1238</v>
      </c>
    </row>
    <row r="196" customFormat="false" ht="15" hidden="false" customHeight="false" outlineLevel="0" collapsed="false">
      <c r="A196" s="18" t="s">
        <v>150</v>
      </c>
      <c r="B196" s="12" t="s">
        <v>135</v>
      </c>
      <c r="C196" s="12" t="s">
        <v>151</v>
      </c>
      <c r="D196" s="12" t="s">
        <v>149</v>
      </c>
      <c r="E196" s="12" t="s">
        <v>1229</v>
      </c>
      <c r="F196" s="19"/>
    </row>
    <row r="197" customFormat="false" ht="15" hidden="false" customHeight="false" outlineLevel="0" collapsed="false">
      <c r="A197" s="18" t="s">
        <v>150</v>
      </c>
      <c r="B197" s="12" t="s">
        <v>135</v>
      </c>
      <c r="C197" s="12" t="s">
        <v>151</v>
      </c>
      <c r="D197" s="12" t="s">
        <v>1086</v>
      </c>
      <c r="E197" s="12" t="s">
        <v>1239</v>
      </c>
      <c r="F197" s="19" t="s">
        <v>1240</v>
      </c>
    </row>
    <row r="198" customFormat="false" ht="15" hidden="false" customHeight="false" outlineLevel="0" collapsed="false">
      <c r="A198" s="35" t="s">
        <v>150</v>
      </c>
      <c r="B198" s="34" t="s">
        <v>135</v>
      </c>
      <c r="C198" s="34" t="s">
        <v>151</v>
      </c>
      <c r="D198" s="34" t="s">
        <v>909</v>
      </c>
      <c r="E198" s="34" t="s">
        <v>910</v>
      </c>
      <c r="F198" s="36" t="s">
        <v>911</v>
      </c>
    </row>
    <row r="199" customFormat="false" ht="15" hidden="false" customHeight="false" outlineLevel="0" collapsed="false">
      <c r="A199" s="18" t="s">
        <v>153</v>
      </c>
      <c r="B199" s="12" t="s">
        <v>135</v>
      </c>
      <c r="C199" s="12" t="s">
        <v>154</v>
      </c>
      <c r="D199" s="12" t="s">
        <v>106</v>
      </c>
      <c r="E199" s="12" t="s">
        <v>1091</v>
      </c>
      <c r="F199" s="19"/>
    </row>
    <row r="200" customFormat="false" ht="15" hidden="false" customHeight="false" outlineLevel="0" collapsed="false">
      <c r="A200" s="18" t="s">
        <v>153</v>
      </c>
      <c r="B200" s="12" t="s">
        <v>135</v>
      </c>
      <c r="C200" s="12" t="s">
        <v>154</v>
      </c>
      <c r="D200" s="12" t="s">
        <v>1241</v>
      </c>
      <c r="E200" s="12" t="s">
        <v>1242</v>
      </c>
      <c r="F200" s="19"/>
    </row>
    <row r="201" customFormat="false" ht="15" hidden="false" customHeight="false" outlineLevel="0" collapsed="false">
      <c r="A201" s="18" t="s">
        <v>153</v>
      </c>
      <c r="B201" s="12" t="s">
        <v>135</v>
      </c>
      <c r="C201" s="12" t="s">
        <v>154</v>
      </c>
      <c r="D201" s="12" t="s">
        <v>155</v>
      </c>
      <c r="E201" s="12" t="s">
        <v>1243</v>
      </c>
      <c r="F201" s="19"/>
    </row>
    <row r="202" customFormat="false" ht="15" hidden="false" customHeight="false" outlineLevel="0" collapsed="false">
      <c r="A202" s="18" t="s">
        <v>153</v>
      </c>
      <c r="B202" s="12" t="s">
        <v>135</v>
      </c>
      <c r="C202" s="12" t="s">
        <v>154</v>
      </c>
      <c r="D202" s="12" t="s">
        <v>311</v>
      </c>
      <c r="E202" s="12" t="s">
        <v>1244</v>
      </c>
      <c r="F202" s="19" t="s">
        <v>1245</v>
      </c>
    </row>
    <row r="203" customFormat="false" ht="15" hidden="false" customHeight="false" outlineLevel="0" collapsed="false">
      <c r="A203" s="35" t="s">
        <v>153</v>
      </c>
      <c r="B203" s="34" t="s">
        <v>135</v>
      </c>
      <c r="C203" s="34" t="s">
        <v>154</v>
      </c>
      <c r="D203" s="34" t="s">
        <v>909</v>
      </c>
      <c r="E203" s="34" t="s">
        <v>910</v>
      </c>
      <c r="F203" s="36" t="s">
        <v>911</v>
      </c>
    </row>
    <row r="204" customFormat="false" ht="15" hidden="false" customHeight="false" outlineLevel="0" collapsed="false">
      <c r="A204" s="18" t="s">
        <v>156</v>
      </c>
      <c r="B204" s="12" t="s">
        <v>135</v>
      </c>
      <c r="C204" s="12" t="s">
        <v>157</v>
      </c>
      <c r="D204" s="12" t="s">
        <v>75</v>
      </c>
      <c r="E204" s="12" t="s">
        <v>1246</v>
      </c>
      <c r="F204" s="19"/>
    </row>
    <row r="205" customFormat="false" ht="15" hidden="false" customHeight="false" outlineLevel="0" collapsed="false">
      <c r="A205" s="18" t="s">
        <v>156</v>
      </c>
      <c r="B205" s="12" t="s">
        <v>135</v>
      </c>
      <c r="C205" s="12" t="s">
        <v>157</v>
      </c>
      <c r="D205" s="12" t="s">
        <v>950</v>
      </c>
      <c r="E205" s="12" t="s">
        <v>1247</v>
      </c>
      <c r="F205" s="19"/>
    </row>
    <row r="206" customFormat="false" ht="15" hidden="false" customHeight="false" outlineLevel="0" collapsed="false">
      <c r="A206" s="18" t="s">
        <v>156</v>
      </c>
      <c r="B206" s="12" t="s">
        <v>135</v>
      </c>
      <c r="C206" s="12" t="s">
        <v>157</v>
      </c>
      <c r="D206" s="12" t="s">
        <v>1248</v>
      </c>
      <c r="E206" s="12" t="s">
        <v>1249</v>
      </c>
      <c r="F206" s="19"/>
    </row>
    <row r="207" customFormat="false" ht="15" hidden="false" customHeight="false" outlineLevel="0" collapsed="false">
      <c r="A207" s="18" t="s">
        <v>156</v>
      </c>
      <c r="B207" s="12" t="s">
        <v>135</v>
      </c>
      <c r="C207" s="12" t="s">
        <v>157</v>
      </c>
      <c r="D207" s="12" t="s">
        <v>1250</v>
      </c>
      <c r="E207" s="12" t="s">
        <v>1251</v>
      </c>
      <c r="F207" s="19"/>
    </row>
    <row r="208" customFormat="false" ht="15" hidden="false" customHeight="false" outlineLevel="0" collapsed="false">
      <c r="A208" s="18" t="s">
        <v>156</v>
      </c>
      <c r="B208" s="12" t="s">
        <v>135</v>
      </c>
      <c r="C208" s="12" t="s">
        <v>157</v>
      </c>
      <c r="D208" s="12" t="s">
        <v>1252</v>
      </c>
      <c r="E208" s="12" t="s">
        <v>1253</v>
      </c>
      <c r="F208" s="19"/>
    </row>
    <row r="209" customFormat="false" ht="15" hidden="false" customHeight="false" outlineLevel="0" collapsed="false">
      <c r="A209" s="18" t="s">
        <v>156</v>
      </c>
      <c r="B209" s="12" t="s">
        <v>135</v>
      </c>
      <c r="C209" s="12" t="s">
        <v>157</v>
      </c>
      <c r="D209" s="12" t="s">
        <v>1254</v>
      </c>
      <c r="E209" s="12" t="s">
        <v>1255</v>
      </c>
      <c r="F209" s="19"/>
    </row>
    <row r="210" customFormat="false" ht="15" hidden="false" customHeight="false" outlineLevel="0" collapsed="false">
      <c r="A210" s="18" t="s">
        <v>156</v>
      </c>
      <c r="B210" s="12" t="s">
        <v>135</v>
      </c>
      <c r="C210" s="12" t="s">
        <v>157</v>
      </c>
      <c r="D210" s="12" t="s">
        <v>1256</v>
      </c>
      <c r="E210" s="12" t="s">
        <v>1257</v>
      </c>
      <c r="F210" s="19"/>
    </row>
    <row r="211" customFormat="false" ht="15" hidden="false" customHeight="false" outlineLevel="0" collapsed="false">
      <c r="A211" s="18" t="s">
        <v>156</v>
      </c>
      <c r="B211" s="12" t="s">
        <v>135</v>
      </c>
      <c r="C211" s="12" t="s">
        <v>157</v>
      </c>
      <c r="D211" s="12" t="s">
        <v>1258</v>
      </c>
      <c r="E211" s="12" t="s">
        <v>1259</v>
      </c>
      <c r="F211" s="19"/>
    </row>
    <row r="212" customFormat="false" ht="15" hidden="false" customHeight="false" outlineLevel="0" collapsed="false">
      <c r="A212" s="35" t="s">
        <v>156</v>
      </c>
      <c r="B212" s="34" t="s">
        <v>135</v>
      </c>
      <c r="C212" s="34" t="s">
        <v>157</v>
      </c>
      <c r="D212" s="34" t="s">
        <v>909</v>
      </c>
      <c r="E212" s="34" t="s">
        <v>910</v>
      </c>
      <c r="F212" s="36" t="s">
        <v>911</v>
      </c>
    </row>
    <row r="213" customFormat="false" ht="23.85" hidden="false" customHeight="false" outlineLevel="0" collapsed="false">
      <c r="A213" s="18" t="s">
        <v>159</v>
      </c>
      <c r="B213" s="12" t="s">
        <v>135</v>
      </c>
      <c r="C213" s="12" t="s">
        <v>160</v>
      </c>
      <c r="D213" s="12" t="s">
        <v>1260</v>
      </c>
      <c r="E213" s="12" t="s">
        <v>1261</v>
      </c>
      <c r="F213" s="19"/>
    </row>
    <row r="214" customFormat="false" ht="23.85" hidden="false" customHeight="false" outlineLevel="0" collapsed="false">
      <c r="A214" s="18" t="s">
        <v>159</v>
      </c>
      <c r="B214" s="12" t="s">
        <v>135</v>
      </c>
      <c r="C214" s="12" t="s">
        <v>160</v>
      </c>
      <c r="D214" s="12" t="s">
        <v>161</v>
      </c>
      <c r="E214" s="12" t="s">
        <v>1262</v>
      </c>
      <c r="F214" s="19"/>
    </row>
    <row r="215" customFormat="false" ht="23.85" hidden="false" customHeight="false" outlineLevel="0" collapsed="false">
      <c r="A215" s="18" t="s">
        <v>159</v>
      </c>
      <c r="B215" s="12" t="s">
        <v>135</v>
      </c>
      <c r="C215" s="12" t="s">
        <v>160</v>
      </c>
      <c r="D215" s="12" t="s">
        <v>1263</v>
      </c>
      <c r="E215" s="12" t="s">
        <v>1264</v>
      </c>
      <c r="F215" s="19" t="s">
        <v>1265</v>
      </c>
    </row>
    <row r="216" customFormat="false" ht="23.85" hidden="false" customHeight="false" outlineLevel="0" collapsed="false">
      <c r="A216" s="35" t="s">
        <v>159</v>
      </c>
      <c r="B216" s="34" t="s">
        <v>135</v>
      </c>
      <c r="C216" s="34" t="s">
        <v>160</v>
      </c>
      <c r="D216" s="34" t="s">
        <v>909</v>
      </c>
      <c r="E216" s="34" t="s">
        <v>910</v>
      </c>
      <c r="F216" s="36" t="s">
        <v>911</v>
      </c>
    </row>
    <row r="217" customFormat="false" ht="15" hidden="false" customHeight="false" outlineLevel="0" collapsed="false">
      <c r="A217" s="18" t="s">
        <v>162</v>
      </c>
      <c r="B217" s="12" t="s">
        <v>163</v>
      </c>
      <c r="C217" s="12" t="s">
        <v>164</v>
      </c>
      <c r="D217" s="12" t="s">
        <v>1266</v>
      </c>
      <c r="E217" s="12" t="s">
        <v>1267</v>
      </c>
      <c r="F217" s="19" t="s">
        <v>1268</v>
      </c>
    </row>
    <row r="218" customFormat="false" ht="15" hidden="false" customHeight="false" outlineLevel="0" collapsed="false">
      <c r="A218" s="18" t="s">
        <v>162</v>
      </c>
      <c r="B218" s="12" t="s">
        <v>163</v>
      </c>
      <c r="C218" s="12" t="s">
        <v>164</v>
      </c>
      <c r="D218" s="12" t="s">
        <v>1269</v>
      </c>
      <c r="E218" s="12" t="s">
        <v>1270</v>
      </c>
      <c r="F218" s="19"/>
    </row>
    <row r="219" customFormat="false" ht="15" hidden="false" customHeight="false" outlineLevel="0" collapsed="false">
      <c r="A219" s="18" t="s">
        <v>162</v>
      </c>
      <c r="B219" s="12" t="s">
        <v>163</v>
      </c>
      <c r="C219" s="12" t="s">
        <v>164</v>
      </c>
      <c r="D219" s="12" t="s">
        <v>1271</v>
      </c>
      <c r="E219" s="12" t="s">
        <v>1272</v>
      </c>
      <c r="F219" s="19"/>
    </row>
    <row r="220" customFormat="false" ht="15" hidden="false" customHeight="false" outlineLevel="0" collapsed="false">
      <c r="A220" s="18" t="s">
        <v>162</v>
      </c>
      <c r="B220" s="12" t="s">
        <v>163</v>
      </c>
      <c r="C220" s="12" t="s">
        <v>164</v>
      </c>
      <c r="D220" s="12" t="s">
        <v>1273</v>
      </c>
      <c r="E220" s="12" t="s">
        <v>1274</v>
      </c>
      <c r="F220" s="19"/>
    </row>
    <row r="221" customFormat="false" ht="15" hidden="false" customHeight="false" outlineLevel="0" collapsed="false">
      <c r="A221" s="18" t="s">
        <v>162</v>
      </c>
      <c r="B221" s="12" t="s">
        <v>163</v>
      </c>
      <c r="C221" s="12" t="s">
        <v>164</v>
      </c>
      <c r="D221" s="12" t="s">
        <v>1275</v>
      </c>
      <c r="E221" s="12" t="s">
        <v>1276</v>
      </c>
      <c r="F221" s="19"/>
    </row>
    <row r="222" customFormat="false" ht="15" hidden="false" customHeight="false" outlineLevel="0" collapsed="false">
      <c r="A222" s="18" t="s">
        <v>162</v>
      </c>
      <c r="B222" s="12" t="s">
        <v>163</v>
      </c>
      <c r="C222" s="12" t="s">
        <v>164</v>
      </c>
      <c r="D222" s="12" t="s">
        <v>1277</v>
      </c>
      <c r="E222" s="12" t="s">
        <v>1278</v>
      </c>
      <c r="F222" s="19"/>
    </row>
    <row r="223" customFormat="false" ht="15" hidden="false" customHeight="false" outlineLevel="0" collapsed="false">
      <c r="A223" s="18" t="s">
        <v>162</v>
      </c>
      <c r="B223" s="12" t="s">
        <v>163</v>
      </c>
      <c r="C223" s="12" t="s">
        <v>164</v>
      </c>
      <c r="D223" s="12" t="s">
        <v>1254</v>
      </c>
      <c r="E223" s="12" t="s">
        <v>1279</v>
      </c>
      <c r="F223" s="19"/>
    </row>
    <row r="224" customFormat="false" ht="15" hidden="false" customHeight="false" outlineLevel="0" collapsed="false">
      <c r="A224" s="18" t="s">
        <v>162</v>
      </c>
      <c r="B224" s="12" t="s">
        <v>163</v>
      </c>
      <c r="C224" s="12" t="s">
        <v>164</v>
      </c>
      <c r="D224" s="12" t="s">
        <v>1280</v>
      </c>
      <c r="E224" s="12" t="s">
        <v>1281</v>
      </c>
      <c r="F224" s="19"/>
    </row>
    <row r="225" customFormat="false" ht="15" hidden="false" customHeight="false" outlineLevel="0" collapsed="false">
      <c r="A225" s="18" t="s">
        <v>162</v>
      </c>
      <c r="B225" s="12" t="s">
        <v>163</v>
      </c>
      <c r="C225" s="12" t="s">
        <v>164</v>
      </c>
      <c r="D225" s="12" t="s">
        <v>1282</v>
      </c>
      <c r="E225" s="12" t="s">
        <v>1283</v>
      </c>
      <c r="F225" s="19"/>
    </row>
    <row r="226" customFormat="false" ht="15" hidden="false" customHeight="false" outlineLevel="0" collapsed="false">
      <c r="A226" s="18" t="s">
        <v>162</v>
      </c>
      <c r="B226" s="12" t="s">
        <v>163</v>
      </c>
      <c r="C226" s="12" t="s">
        <v>164</v>
      </c>
      <c r="D226" s="12" t="s">
        <v>1284</v>
      </c>
      <c r="E226" s="12" t="s">
        <v>1285</v>
      </c>
      <c r="F226" s="19"/>
    </row>
    <row r="227" customFormat="false" ht="15" hidden="false" customHeight="false" outlineLevel="0" collapsed="false">
      <c r="A227" s="18" t="s">
        <v>162</v>
      </c>
      <c r="B227" s="12" t="s">
        <v>163</v>
      </c>
      <c r="C227" s="12" t="s">
        <v>164</v>
      </c>
      <c r="D227" s="12" t="s">
        <v>1286</v>
      </c>
      <c r="E227" s="12" t="s">
        <v>1287</v>
      </c>
      <c r="F227" s="19"/>
    </row>
    <row r="228" customFormat="false" ht="15" hidden="false" customHeight="false" outlineLevel="0" collapsed="false">
      <c r="A228" s="18" t="s">
        <v>162</v>
      </c>
      <c r="B228" s="12" t="s">
        <v>163</v>
      </c>
      <c r="C228" s="12" t="s">
        <v>164</v>
      </c>
      <c r="D228" s="12" t="s">
        <v>1288</v>
      </c>
      <c r="E228" s="12" t="s">
        <v>1289</v>
      </c>
      <c r="F228" s="19"/>
    </row>
    <row r="229" customFormat="false" ht="15" hidden="false" customHeight="false" outlineLevel="0" collapsed="false">
      <c r="A229" s="35" t="s">
        <v>162</v>
      </c>
      <c r="B229" s="34" t="s">
        <v>163</v>
      </c>
      <c r="C229" s="34" t="s">
        <v>164</v>
      </c>
      <c r="D229" s="34" t="s">
        <v>909</v>
      </c>
      <c r="E229" s="34" t="s">
        <v>910</v>
      </c>
      <c r="F229" s="36" t="s">
        <v>911</v>
      </c>
    </row>
    <row r="230" customFormat="false" ht="15" hidden="false" customHeight="false" outlineLevel="0" collapsed="false">
      <c r="A230" s="18" t="s">
        <v>166</v>
      </c>
      <c r="B230" s="12" t="s">
        <v>163</v>
      </c>
      <c r="C230" s="12" t="s">
        <v>167</v>
      </c>
      <c r="D230" s="12" t="s">
        <v>110</v>
      </c>
      <c r="E230" s="12" t="s">
        <v>1290</v>
      </c>
      <c r="F230" s="19"/>
    </row>
    <row r="231" customFormat="false" ht="15" hidden="false" customHeight="false" outlineLevel="0" collapsed="false">
      <c r="A231" s="18" t="s">
        <v>166</v>
      </c>
      <c r="B231" s="12" t="s">
        <v>163</v>
      </c>
      <c r="C231" s="12" t="s">
        <v>167</v>
      </c>
      <c r="D231" s="12" t="s">
        <v>1203</v>
      </c>
      <c r="E231" s="12" t="s">
        <v>1291</v>
      </c>
      <c r="F231" s="19"/>
    </row>
    <row r="232" customFormat="false" ht="15" hidden="false" customHeight="false" outlineLevel="0" collapsed="false">
      <c r="A232" s="18" t="s">
        <v>166</v>
      </c>
      <c r="B232" s="12" t="s">
        <v>163</v>
      </c>
      <c r="C232" s="12" t="s">
        <v>167</v>
      </c>
      <c r="D232" s="12" t="s">
        <v>1201</v>
      </c>
      <c r="E232" s="12" t="s">
        <v>1292</v>
      </c>
      <c r="F232" s="19"/>
    </row>
    <row r="233" customFormat="false" ht="15" hidden="false" customHeight="false" outlineLevel="0" collapsed="false">
      <c r="A233" s="18" t="s">
        <v>166</v>
      </c>
      <c r="B233" s="12" t="s">
        <v>163</v>
      </c>
      <c r="C233" s="12" t="s">
        <v>167</v>
      </c>
      <c r="D233" s="12" t="s">
        <v>1293</v>
      </c>
      <c r="E233" s="12" t="s">
        <v>1294</v>
      </c>
      <c r="F233" s="19"/>
    </row>
    <row r="234" customFormat="false" ht="15" hidden="false" customHeight="false" outlineLevel="0" collapsed="false">
      <c r="A234" s="18" t="s">
        <v>166</v>
      </c>
      <c r="B234" s="12" t="s">
        <v>163</v>
      </c>
      <c r="C234" s="12" t="s">
        <v>167</v>
      </c>
      <c r="D234" s="12" t="s">
        <v>1295</v>
      </c>
      <c r="E234" s="12" t="s">
        <v>1296</v>
      </c>
      <c r="F234" s="19"/>
    </row>
    <row r="235" customFormat="false" ht="15" hidden="false" customHeight="false" outlineLevel="0" collapsed="false">
      <c r="A235" s="18" t="s">
        <v>166</v>
      </c>
      <c r="B235" s="12" t="s">
        <v>163</v>
      </c>
      <c r="C235" s="12" t="s">
        <v>167</v>
      </c>
      <c r="D235" s="12" t="s">
        <v>1297</v>
      </c>
      <c r="E235" s="12" t="s">
        <v>1298</v>
      </c>
      <c r="F235" s="19"/>
    </row>
    <row r="236" customFormat="false" ht="15" hidden="false" customHeight="false" outlineLevel="0" collapsed="false">
      <c r="A236" s="18" t="s">
        <v>166</v>
      </c>
      <c r="B236" s="12" t="s">
        <v>163</v>
      </c>
      <c r="C236" s="12" t="s">
        <v>167</v>
      </c>
      <c r="D236" s="12" t="s">
        <v>1299</v>
      </c>
      <c r="E236" s="12" t="s">
        <v>1300</v>
      </c>
      <c r="F236" s="19"/>
    </row>
    <row r="237" customFormat="false" ht="15" hidden="false" customHeight="false" outlineLevel="0" collapsed="false">
      <c r="A237" s="35" t="s">
        <v>166</v>
      </c>
      <c r="B237" s="34" t="s">
        <v>163</v>
      </c>
      <c r="C237" s="34" t="s">
        <v>167</v>
      </c>
      <c r="D237" s="34" t="s">
        <v>909</v>
      </c>
      <c r="E237" s="34" t="s">
        <v>910</v>
      </c>
      <c r="F237" s="36" t="s">
        <v>911</v>
      </c>
    </row>
    <row r="238" customFormat="false" ht="15" hidden="false" customHeight="false" outlineLevel="0" collapsed="false">
      <c r="A238" s="18" t="s">
        <v>168</v>
      </c>
      <c r="B238" s="12" t="s">
        <v>163</v>
      </c>
      <c r="C238" s="12" t="s">
        <v>169</v>
      </c>
      <c r="D238" s="12" t="s">
        <v>106</v>
      </c>
      <c r="E238" s="12" t="s">
        <v>1301</v>
      </c>
      <c r="F238" s="19"/>
    </row>
    <row r="239" customFormat="false" ht="15" hidden="false" customHeight="false" outlineLevel="0" collapsed="false">
      <c r="A239" s="18" t="s">
        <v>168</v>
      </c>
      <c r="B239" s="12" t="s">
        <v>163</v>
      </c>
      <c r="C239" s="12" t="s">
        <v>169</v>
      </c>
      <c r="D239" s="12" t="s">
        <v>170</v>
      </c>
      <c r="E239" s="12" t="s">
        <v>1302</v>
      </c>
      <c r="F239" s="19"/>
    </row>
    <row r="240" customFormat="false" ht="15" hidden="false" customHeight="false" outlineLevel="0" collapsed="false">
      <c r="A240" s="18" t="s">
        <v>168</v>
      </c>
      <c r="B240" s="12" t="s">
        <v>163</v>
      </c>
      <c r="C240" s="12" t="s">
        <v>169</v>
      </c>
      <c r="D240" s="12" t="s">
        <v>1303</v>
      </c>
      <c r="E240" s="12" t="s">
        <v>1304</v>
      </c>
      <c r="F240" s="19"/>
    </row>
    <row r="241" customFormat="false" ht="15" hidden="false" customHeight="false" outlineLevel="0" collapsed="false">
      <c r="A241" s="18" t="s">
        <v>168</v>
      </c>
      <c r="B241" s="12" t="s">
        <v>163</v>
      </c>
      <c r="C241" s="12" t="s">
        <v>169</v>
      </c>
      <c r="D241" s="12" t="s">
        <v>912</v>
      </c>
      <c r="E241" s="12" t="s">
        <v>1305</v>
      </c>
      <c r="F241" s="19" t="s">
        <v>1306</v>
      </c>
    </row>
    <row r="242" customFormat="false" ht="15" hidden="false" customHeight="false" outlineLevel="0" collapsed="false">
      <c r="A242" s="35" t="s">
        <v>168</v>
      </c>
      <c r="B242" s="34" t="s">
        <v>163</v>
      </c>
      <c r="C242" s="34" t="s">
        <v>169</v>
      </c>
      <c r="D242" s="34" t="s">
        <v>909</v>
      </c>
      <c r="E242" s="34" t="s">
        <v>910</v>
      </c>
      <c r="F242" s="36" t="s">
        <v>911</v>
      </c>
    </row>
    <row r="243" customFormat="false" ht="15" hidden="false" customHeight="false" outlineLevel="0" collapsed="false">
      <c r="A243" s="18" t="s">
        <v>171</v>
      </c>
      <c r="B243" s="12" t="s">
        <v>163</v>
      </c>
      <c r="C243" s="12" t="s">
        <v>172</v>
      </c>
      <c r="D243" s="12" t="s">
        <v>106</v>
      </c>
      <c r="E243" s="12" t="s">
        <v>1307</v>
      </c>
      <c r="F243" s="19"/>
    </row>
    <row r="244" customFormat="false" ht="15" hidden="false" customHeight="false" outlineLevel="0" collapsed="false">
      <c r="A244" s="18" t="s">
        <v>171</v>
      </c>
      <c r="B244" s="12" t="s">
        <v>163</v>
      </c>
      <c r="C244" s="12" t="s">
        <v>172</v>
      </c>
      <c r="D244" s="12" t="s">
        <v>173</v>
      </c>
      <c r="E244" s="12" t="s">
        <v>1308</v>
      </c>
      <c r="F244" s="19" t="s">
        <v>1309</v>
      </c>
    </row>
    <row r="245" customFormat="false" ht="15" hidden="false" customHeight="false" outlineLevel="0" collapsed="false">
      <c r="A245" s="18" t="s">
        <v>171</v>
      </c>
      <c r="B245" s="12" t="s">
        <v>163</v>
      </c>
      <c r="C245" s="12" t="s">
        <v>172</v>
      </c>
      <c r="D245" s="12" t="s">
        <v>1310</v>
      </c>
      <c r="E245" s="12" t="s">
        <v>1311</v>
      </c>
      <c r="F245" s="19"/>
    </row>
    <row r="246" customFormat="false" ht="15" hidden="false" customHeight="false" outlineLevel="0" collapsed="false">
      <c r="A246" s="18" t="s">
        <v>171</v>
      </c>
      <c r="B246" s="12" t="s">
        <v>163</v>
      </c>
      <c r="C246" s="12" t="s">
        <v>172</v>
      </c>
      <c r="D246" s="12" t="s">
        <v>1312</v>
      </c>
      <c r="E246" s="12" t="s">
        <v>1313</v>
      </c>
      <c r="F246" s="19" t="s">
        <v>1314</v>
      </c>
    </row>
    <row r="247" customFormat="false" ht="15" hidden="false" customHeight="false" outlineLevel="0" collapsed="false">
      <c r="A247" s="35" t="s">
        <v>171</v>
      </c>
      <c r="B247" s="34" t="s">
        <v>163</v>
      </c>
      <c r="C247" s="34" t="s">
        <v>172</v>
      </c>
      <c r="D247" s="34" t="s">
        <v>909</v>
      </c>
      <c r="E247" s="34" t="s">
        <v>910</v>
      </c>
      <c r="F247" s="36" t="s">
        <v>911</v>
      </c>
    </row>
    <row r="248" customFormat="false" ht="15" hidden="false" customHeight="false" outlineLevel="0" collapsed="false">
      <c r="A248" s="18" t="s">
        <v>174</v>
      </c>
      <c r="B248" s="12" t="s">
        <v>163</v>
      </c>
      <c r="C248" s="12" t="s">
        <v>175</v>
      </c>
      <c r="D248" s="12" t="s">
        <v>106</v>
      </c>
      <c r="E248" s="12" t="s">
        <v>1315</v>
      </c>
      <c r="F248" s="19"/>
    </row>
    <row r="249" customFormat="false" ht="15" hidden="false" customHeight="false" outlineLevel="0" collapsed="false">
      <c r="A249" s="18" t="s">
        <v>174</v>
      </c>
      <c r="B249" s="12" t="s">
        <v>163</v>
      </c>
      <c r="C249" s="12" t="s">
        <v>175</v>
      </c>
      <c r="D249" s="12" t="s">
        <v>201</v>
      </c>
      <c r="E249" s="12" t="s">
        <v>1316</v>
      </c>
      <c r="F249" s="19"/>
    </row>
    <row r="250" customFormat="false" ht="15" hidden="false" customHeight="false" outlineLevel="0" collapsed="false">
      <c r="A250" s="18" t="s">
        <v>174</v>
      </c>
      <c r="B250" s="12" t="s">
        <v>163</v>
      </c>
      <c r="C250" s="12" t="s">
        <v>175</v>
      </c>
      <c r="D250" s="12" t="s">
        <v>176</v>
      </c>
      <c r="E250" s="12" t="s">
        <v>1317</v>
      </c>
      <c r="F250" s="19"/>
    </row>
    <row r="251" customFormat="false" ht="23.85" hidden="false" customHeight="false" outlineLevel="0" collapsed="false">
      <c r="A251" s="18" t="s">
        <v>174</v>
      </c>
      <c r="B251" s="12" t="s">
        <v>163</v>
      </c>
      <c r="C251" s="12" t="s">
        <v>175</v>
      </c>
      <c r="D251" s="12" t="s">
        <v>65</v>
      </c>
      <c r="E251" s="12" t="s">
        <v>1318</v>
      </c>
      <c r="F251" s="19"/>
    </row>
    <row r="252" customFormat="false" ht="15" hidden="false" customHeight="false" outlineLevel="0" collapsed="false">
      <c r="A252" s="35" t="s">
        <v>174</v>
      </c>
      <c r="B252" s="34" t="s">
        <v>163</v>
      </c>
      <c r="C252" s="34" t="s">
        <v>175</v>
      </c>
      <c r="D252" s="34" t="s">
        <v>909</v>
      </c>
      <c r="E252" s="34" t="s">
        <v>910</v>
      </c>
      <c r="F252" s="36" t="s">
        <v>911</v>
      </c>
    </row>
    <row r="253" customFormat="false" ht="15" hidden="false" customHeight="false" outlineLevel="0" collapsed="false">
      <c r="A253" s="18" t="s">
        <v>177</v>
      </c>
      <c r="B253" s="12" t="s">
        <v>163</v>
      </c>
      <c r="C253" s="12" t="s">
        <v>178</v>
      </c>
      <c r="D253" s="12" t="s">
        <v>106</v>
      </c>
      <c r="E253" s="12" t="s">
        <v>1091</v>
      </c>
      <c r="F253" s="19"/>
    </row>
    <row r="254" customFormat="false" ht="15" hidden="false" customHeight="false" outlineLevel="0" collapsed="false">
      <c r="A254" s="18" t="s">
        <v>177</v>
      </c>
      <c r="B254" s="12" t="s">
        <v>163</v>
      </c>
      <c r="C254" s="12" t="s">
        <v>178</v>
      </c>
      <c r="D254" s="12" t="s">
        <v>1319</v>
      </c>
      <c r="E254" s="12" t="s">
        <v>1320</v>
      </c>
      <c r="F254" s="19"/>
    </row>
    <row r="255" customFormat="false" ht="15" hidden="false" customHeight="false" outlineLevel="0" collapsed="false">
      <c r="A255" s="18" t="s">
        <v>177</v>
      </c>
      <c r="B255" s="12" t="s">
        <v>163</v>
      </c>
      <c r="C255" s="12" t="s">
        <v>178</v>
      </c>
      <c r="D255" s="12" t="s">
        <v>179</v>
      </c>
      <c r="E255" s="12" t="s">
        <v>1321</v>
      </c>
      <c r="F255" s="19"/>
    </row>
    <row r="256" customFormat="false" ht="15" hidden="false" customHeight="false" outlineLevel="0" collapsed="false">
      <c r="A256" s="18" t="s">
        <v>177</v>
      </c>
      <c r="B256" s="12" t="s">
        <v>163</v>
      </c>
      <c r="C256" s="12" t="s">
        <v>178</v>
      </c>
      <c r="D256" s="12" t="s">
        <v>1322</v>
      </c>
      <c r="E256" s="12" t="s">
        <v>1323</v>
      </c>
      <c r="F256" s="19" t="s">
        <v>1324</v>
      </c>
    </row>
    <row r="257" customFormat="false" ht="15" hidden="false" customHeight="false" outlineLevel="0" collapsed="false">
      <c r="A257" s="18" t="s">
        <v>177</v>
      </c>
      <c r="B257" s="12" t="s">
        <v>163</v>
      </c>
      <c r="C257" s="12" t="s">
        <v>178</v>
      </c>
      <c r="D257" s="12" t="s">
        <v>1325</v>
      </c>
      <c r="E257" s="12" t="s">
        <v>1326</v>
      </c>
      <c r="F257" s="19"/>
    </row>
    <row r="258" customFormat="false" ht="15" hidden="false" customHeight="false" outlineLevel="0" collapsed="false">
      <c r="A258" s="35" t="s">
        <v>177</v>
      </c>
      <c r="B258" s="34" t="s">
        <v>163</v>
      </c>
      <c r="C258" s="34" t="s">
        <v>178</v>
      </c>
      <c r="D258" s="34" t="s">
        <v>909</v>
      </c>
      <c r="E258" s="34" t="s">
        <v>910</v>
      </c>
      <c r="F258" s="36" t="s">
        <v>911</v>
      </c>
    </row>
    <row r="259" customFormat="false" ht="15" hidden="false" customHeight="false" outlineLevel="0" collapsed="false">
      <c r="A259" s="18" t="s">
        <v>180</v>
      </c>
      <c r="B259" s="12" t="s">
        <v>163</v>
      </c>
      <c r="C259" s="12" t="s">
        <v>181</v>
      </c>
      <c r="D259" s="12" t="s">
        <v>106</v>
      </c>
      <c r="E259" s="12" t="s">
        <v>1091</v>
      </c>
      <c r="F259" s="19"/>
    </row>
    <row r="260" customFormat="false" ht="15" hidden="false" customHeight="false" outlineLevel="0" collapsed="false">
      <c r="A260" s="18" t="s">
        <v>180</v>
      </c>
      <c r="B260" s="12" t="s">
        <v>163</v>
      </c>
      <c r="C260" s="12" t="s">
        <v>181</v>
      </c>
      <c r="D260" s="12" t="s">
        <v>1327</v>
      </c>
      <c r="E260" s="12" t="s">
        <v>1328</v>
      </c>
      <c r="F260" s="19"/>
    </row>
    <row r="261" customFormat="false" ht="15" hidden="false" customHeight="false" outlineLevel="0" collapsed="false">
      <c r="A261" s="18" t="s">
        <v>180</v>
      </c>
      <c r="B261" s="12" t="s">
        <v>163</v>
      </c>
      <c r="C261" s="12" t="s">
        <v>181</v>
      </c>
      <c r="D261" s="12" t="s">
        <v>1329</v>
      </c>
      <c r="E261" s="12" t="s">
        <v>1330</v>
      </c>
      <c r="F261" s="19"/>
    </row>
    <row r="262" customFormat="false" ht="15" hidden="false" customHeight="false" outlineLevel="0" collapsed="false">
      <c r="A262" s="18" t="s">
        <v>180</v>
      </c>
      <c r="B262" s="12" t="s">
        <v>163</v>
      </c>
      <c r="C262" s="12" t="s">
        <v>181</v>
      </c>
      <c r="D262" s="12" t="s">
        <v>118</v>
      </c>
      <c r="E262" s="12" t="s">
        <v>1331</v>
      </c>
      <c r="F262" s="19"/>
    </row>
    <row r="263" customFormat="false" ht="15" hidden="false" customHeight="false" outlineLevel="0" collapsed="false">
      <c r="A263" s="35" t="s">
        <v>180</v>
      </c>
      <c r="B263" s="34" t="s">
        <v>163</v>
      </c>
      <c r="C263" s="34" t="s">
        <v>181</v>
      </c>
      <c r="D263" s="34" t="s">
        <v>909</v>
      </c>
      <c r="E263" s="34" t="s">
        <v>910</v>
      </c>
      <c r="F263" s="36" t="s">
        <v>911</v>
      </c>
    </row>
    <row r="264" customFormat="false" ht="15" hidden="false" customHeight="false" outlineLevel="0" collapsed="false">
      <c r="A264" s="18" t="s">
        <v>182</v>
      </c>
      <c r="B264" s="12" t="s">
        <v>183</v>
      </c>
      <c r="C264" s="12" t="s">
        <v>184</v>
      </c>
      <c r="D264" s="12" t="s">
        <v>75</v>
      </c>
      <c r="E264" s="12" t="s">
        <v>1332</v>
      </c>
      <c r="F264" s="19"/>
    </row>
    <row r="265" customFormat="false" ht="15" hidden="false" customHeight="false" outlineLevel="0" collapsed="false">
      <c r="A265" s="18" t="s">
        <v>182</v>
      </c>
      <c r="B265" s="12" t="s">
        <v>183</v>
      </c>
      <c r="C265" s="12" t="s">
        <v>184</v>
      </c>
      <c r="D265" s="12" t="s">
        <v>1333</v>
      </c>
      <c r="E265" s="12" t="s">
        <v>1334</v>
      </c>
      <c r="F265" s="19"/>
    </row>
    <row r="266" customFormat="false" ht="15" hidden="false" customHeight="false" outlineLevel="0" collapsed="false">
      <c r="A266" s="18" t="s">
        <v>182</v>
      </c>
      <c r="B266" s="12" t="s">
        <v>183</v>
      </c>
      <c r="C266" s="12" t="s">
        <v>184</v>
      </c>
      <c r="D266" s="12" t="s">
        <v>1335</v>
      </c>
      <c r="E266" s="12" t="s">
        <v>1336</v>
      </c>
      <c r="F266" s="19"/>
    </row>
    <row r="267" customFormat="false" ht="15" hidden="false" customHeight="false" outlineLevel="0" collapsed="false">
      <c r="A267" s="18" t="s">
        <v>182</v>
      </c>
      <c r="B267" s="12" t="s">
        <v>183</v>
      </c>
      <c r="C267" s="12" t="s">
        <v>184</v>
      </c>
      <c r="D267" s="12" t="s">
        <v>94</v>
      </c>
      <c r="E267" s="12" t="s">
        <v>1337</v>
      </c>
      <c r="F267" s="19"/>
    </row>
    <row r="268" customFormat="false" ht="15" hidden="false" customHeight="false" outlineLevel="0" collapsed="false">
      <c r="A268" s="18" t="s">
        <v>182</v>
      </c>
      <c r="B268" s="12" t="s">
        <v>183</v>
      </c>
      <c r="C268" s="12" t="s">
        <v>184</v>
      </c>
      <c r="D268" s="12" t="s">
        <v>956</v>
      </c>
      <c r="E268" s="12" t="s">
        <v>1338</v>
      </c>
      <c r="F268" s="19"/>
    </row>
    <row r="269" customFormat="false" ht="15" hidden="false" customHeight="false" outlineLevel="0" collapsed="false">
      <c r="A269" s="18" t="s">
        <v>182</v>
      </c>
      <c r="B269" s="12" t="s">
        <v>183</v>
      </c>
      <c r="C269" s="12" t="s">
        <v>184</v>
      </c>
      <c r="D269" s="12" t="s">
        <v>1339</v>
      </c>
      <c r="E269" s="12" t="s">
        <v>1340</v>
      </c>
      <c r="F269" s="19"/>
    </row>
    <row r="270" customFormat="false" ht="15" hidden="false" customHeight="false" outlineLevel="0" collapsed="false">
      <c r="A270" s="18" t="s">
        <v>182</v>
      </c>
      <c r="B270" s="12" t="s">
        <v>183</v>
      </c>
      <c r="C270" s="12" t="s">
        <v>184</v>
      </c>
      <c r="D270" s="12" t="s">
        <v>1341</v>
      </c>
      <c r="E270" s="12" t="s">
        <v>1342</v>
      </c>
      <c r="F270" s="19"/>
    </row>
    <row r="271" customFormat="false" ht="15" hidden="false" customHeight="false" outlineLevel="0" collapsed="false">
      <c r="A271" s="18" t="s">
        <v>182</v>
      </c>
      <c r="B271" s="12" t="s">
        <v>183</v>
      </c>
      <c r="C271" s="12" t="s">
        <v>184</v>
      </c>
      <c r="D271" s="12" t="s">
        <v>1343</v>
      </c>
      <c r="E271" s="12" t="s">
        <v>1344</v>
      </c>
      <c r="F271" s="19"/>
    </row>
    <row r="272" customFormat="false" ht="15" hidden="false" customHeight="false" outlineLevel="0" collapsed="false">
      <c r="A272" s="18" t="s">
        <v>182</v>
      </c>
      <c r="B272" s="12" t="s">
        <v>183</v>
      </c>
      <c r="C272" s="12" t="s">
        <v>184</v>
      </c>
      <c r="D272" s="12" t="s">
        <v>1345</v>
      </c>
      <c r="E272" s="12" t="s">
        <v>1346</v>
      </c>
      <c r="F272" s="19"/>
    </row>
    <row r="273" customFormat="false" ht="15" hidden="false" customHeight="false" outlineLevel="0" collapsed="false">
      <c r="A273" s="35" t="s">
        <v>182</v>
      </c>
      <c r="B273" s="34" t="s">
        <v>183</v>
      </c>
      <c r="C273" s="34" t="s">
        <v>184</v>
      </c>
      <c r="D273" s="34" t="s">
        <v>909</v>
      </c>
      <c r="E273" s="34" t="s">
        <v>910</v>
      </c>
      <c r="F273" s="36" t="s">
        <v>911</v>
      </c>
    </row>
    <row r="274" customFormat="false" ht="15" hidden="false" customHeight="false" outlineLevel="0" collapsed="false">
      <c r="A274" s="18" t="s">
        <v>186</v>
      </c>
      <c r="B274" s="12" t="s">
        <v>183</v>
      </c>
      <c r="C274" s="12" t="s">
        <v>187</v>
      </c>
      <c r="D274" s="12" t="s">
        <v>201</v>
      </c>
      <c r="E274" s="12" t="s">
        <v>1347</v>
      </c>
      <c r="F274" s="19"/>
    </row>
    <row r="275" customFormat="false" ht="15" hidden="false" customHeight="false" outlineLevel="0" collapsed="false">
      <c r="A275" s="18" t="s">
        <v>186</v>
      </c>
      <c r="B275" s="12" t="s">
        <v>183</v>
      </c>
      <c r="C275" s="12" t="s">
        <v>187</v>
      </c>
      <c r="D275" s="12" t="s">
        <v>189</v>
      </c>
      <c r="E275" s="12" t="s">
        <v>1348</v>
      </c>
      <c r="F275" s="19"/>
    </row>
    <row r="276" customFormat="false" ht="15" hidden="false" customHeight="false" outlineLevel="0" collapsed="false">
      <c r="A276" s="18" t="s">
        <v>186</v>
      </c>
      <c r="B276" s="12" t="s">
        <v>183</v>
      </c>
      <c r="C276" s="12" t="s">
        <v>187</v>
      </c>
      <c r="D276" s="12" t="s">
        <v>1349</v>
      </c>
      <c r="E276" s="12" t="s">
        <v>1350</v>
      </c>
      <c r="F276" s="19"/>
    </row>
    <row r="277" customFormat="false" ht="22.35" hidden="false" customHeight="false" outlineLevel="0" collapsed="false">
      <c r="A277" s="18" t="s">
        <v>186</v>
      </c>
      <c r="B277" s="12" t="s">
        <v>183</v>
      </c>
      <c r="C277" s="12" t="s">
        <v>187</v>
      </c>
      <c r="D277" s="12" t="s">
        <v>65</v>
      </c>
      <c r="E277" s="12" t="s">
        <v>1351</v>
      </c>
      <c r="F277" s="19" t="s">
        <v>1352</v>
      </c>
    </row>
    <row r="278" customFormat="false" ht="15" hidden="false" customHeight="false" outlineLevel="0" collapsed="false">
      <c r="A278" s="35" t="s">
        <v>186</v>
      </c>
      <c r="B278" s="34" t="s">
        <v>183</v>
      </c>
      <c r="C278" s="34" t="s">
        <v>187</v>
      </c>
      <c r="D278" s="34" t="s">
        <v>909</v>
      </c>
      <c r="E278" s="34" t="s">
        <v>910</v>
      </c>
      <c r="F278" s="36" t="s">
        <v>911</v>
      </c>
    </row>
    <row r="279" customFormat="false" ht="15" hidden="false" customHeight="false" outlineLevel="0" collapsed="false">
      <c r="A279" s="18" t="s">
        <v>190</v>
      </c>
      <c r="B279" s="12" t="s">
        <v>183</v>
      </c>
      <c r="C279" s="12" t="s">
        <v>191</v>
      </c>
      <c r="D279" s="12" t="s">
        <v>1353</v>
      </c>
      <c r="E279" s="12" t="s">
        <v>1354</v>
      </c>
      <c r="F279" s="19"/>
    </row>
    <row r="280" customFormat="false" ht="15" hidden="false" customHeight="false" outlineLevel="0" collapsed="false">
      <c r="A280" s="18" t="s">
        <v>190</v>
      </c>
      <c r="B280" s="12" t="s">
        <v>183</v>
      </c>
      <c r="C280" s="12" t="s">
        <v>191</v>
      </c>
      <c r="D280" s="12" t="s">
        <v>192</v>
      </c>
      <c r="E280" s="12" t="s">
        <v>1355</v>
      </c>
      <c r="F280" s="19"/>
    </row>
    <row r="281" customFormat="false" ht="15" hidden="false" customHeight="false" outlineLevel="0" collapsed="false">
      <c r="A281" s="18" t="s">
        <v>190</v>
      </c>
      <c r="B281" s="12" t="s">
        <v>183</v>
      </c>
      <c r="C281" s="12" t="s">
        <v>191</v>
      </c>
      <c r="D281" s="12" t="s">
        <v>1356</v>
      </c>
      <c r="E281" s="12" t="s">
        <v>1357</v>
      </c>
      <c r="F281" s="19" t="s">
        <v>1358</v>
      </c>
    </row>
    <row r="282" customFormat="false" ht="15" hidden="false" customHeight="false" outlineLevel="0" collapsed="false">
      <c r="A282" s="35" t="s">
        <v>190</v>
      </c>
      <c r="B282" s="34" t="s">
        <v>183</v>
      </c>
      <c r="C282" s="34" t="s">
        <v>191</v>
      </c>
      <c r="D282" s="34" t="s">
        <v>909</v>
      </c>
      <c r="E282" s="34" t="s">
        <v>910</v>
      </c>
      <c r="F282" s="36" t="s">
        <v>911</v>
      </c>
    </row>
    <row r="283" customFormat="false" ht="15" hidden="false" customHeight="false" outlineLevel="0" collapsed="false">
      <c r="A283" s="18" t="s">
        <v>193</v>
      </c>
      <c r="B283" s="12" t="s">
        <v>183</v>
      </c>
      <c r="C283" s="12" t="s">
        <v>194</v>
      </c>
      <c r="D283" s="12" t="s">
        <v>106</v>
      </c>
      <c r="E283" s="12" t="s">
        <v>1359</v>
      </c>
      <c r="F283" s="19"/>
    </row>
    <row r="284" customFormat="false" ht="15" hidden="false" customHeight="false" outlineLevel="0" collapsed="false">
      <c r="A284" s="18" t="s">
        <v>193</v>
      </c>
      <c r="B284" s="12" t="s">
        <v>183</v>
      </c>
      <c r="C284" s="12" t="s">
        <v>194</v>
      </c>
      <c r="D284" s="12" t="s">
        <v>1360</v>
      </c>
      <c r="E284" s="12" t="s">
        <v>1361</v>
      </c>
      <c r="F284" s="19" t="s">
        <v>1362</v>
      </c>
    </row>
    <row r="285" customFormat="false" ht="15" hidden="false" customHeight="false" outlineLevel="0" collapsed="false">
      <c r="A285" s="18" t="s">
        <v>193</v>
      </c>
      <c r="B285" s="12" t="s">
        <v>183</v>
      </c>
      <c r="C285" s="12" t="s">
        <v>194</v>
      </c>
      <c r="D285" s="12" t="s">
        <v>195</v>
      </c>
      <c r="E285" s="12" t="s">
        <v>1363</v>
      </c>
      <c r="F285" s="19"/>
    </row>
    <row r="286" customFormat="false" ht="15" hidden="false" customHeight="false" outlineLevel="0" collapsed="false">
      <c r="A286" s="18" t="s">
        <v>193</v>
      </c>
      <c r="B286" s="12" t="s">
        <v>183</v>
      </c>
      <c r="C286" s="12" t="s">
        <v>194</v>
      </c>
      <c r="D286" s="12" t="s">
        <v>1364</v>
      </c>
      <c r="E286" s="12" t="s">
        <v>1365</v>
      </c>
      <c r="F286" s="19"/>
    </row>
    <row r="287" customFormat="false" ht="15" hidden="false" customHeight="false" outlineLevel="0" collapsed="false">
      <c r="A287" s="35" t="s">
        <v>193</v>
      </c>
      <c r="B287" s="34" t="s">
        <v>183</v>
      </c>
      <c r="C287" s="34" t="s">
        <v>194</v>
      </c>
      <c r="D287" s="34" t="s">
        <v>909</v>
      </c>
      <c r="E287" s="34" t="s">
        <v>910</v>
      </c>
      <c r="F287" s="36" t="s">
        <v>911</v>
      </c>
    </row>
    <row r="288" customFormat="false" ht="15" hidden="false" customHeight="false" outlineLevel="0" collapsed="false">
      <c r="A288" s="18" t="s">
        <v>196</v>
      </c>
      <c r="B288" s="12" t="s">
        <v>183</v>
      </c>
      <c r="C288" s="12" t="s">
        <v>197</v>
      </c>
      <c r="D288" s="12" t="s">
        <v>106</v>
      </c>
      <c r="E288" s="12" t="s">
        <v>1091</v>
      </c>
      <c r="F288" s="19"/>
    </row>
    <row r="289" customFormat="false" ht="15" hidden="false" customHeight="false" outlineLevel="0" collapsed="false">
      <c r="A289" s="18" t="s">
        <v>196</v>
      </c>
      <c r="B289" s="12" t="s">
        <v>183</v>
      </c>
      <c r="C289" s="12" t="s">
        <v>197</v>
      </c>
      <c r="D289" s="12" t="s">
        <v>956</v>
      </c>
      <c r="E289" s="12" t="s">
        <v>1366</v>
      </c>
      <c r="F289" s="19"/>
    </row>
    <row r="290" customFormat="false" ht="22.35" hidden="false" customHeight="false" outlineLevel="0" collapsed="false">
      <c r="A290" s="18" t="s">
        <v>196</v>
      </c>
      <c r="B290" s="12" t="s">
        <v>183</v>
      </c>
      <c r="C290" s="12" t="s">
        <v>197</v>
      </c>
      <c r="D290" s="12" t="s">
        <v>1367</v>
      </c>
      <c r="E290" s="12" t="s">
        <v>1368</v>
      </c>
      <c r="F290" s="19" t="s">
        <v>1369</v>
      </c>
    </row>
    <row r="291" customFormat="false" ht="15" hidden="false" customHeight="false" outlineLevel="0" collapsed="false">
      <c r="A291" s="35" t="s">
        <v>196</v>
      </c>
      <c r="B291" s="34" t="s">
        <v>183</v>
      </c>
      <c r="C291" s="34" t="s">
        <v>197</v>
      </c>
      <c r="D291" s="34" t="s">
        <v>909</v>
      </c>
      <c r="E291" s="34" t="s">
        <v>910</v>
      </c>
      <c r="F291" s="36" t="s">
        <v>911</v>
      </c>
    </row>
    <row r="292" customFormat="false" ht="23.85" hidden="false" customHeight="false" outlineLevel="0" collapsed="false">
      <c r="A292" s="18" t="s">
        <v>198</v>
      </c>
      <c r="B292" s="12" t="s">
        <v>183</v>
      </c>
      <c r="C292" s="12" t="s">
        <v>199</v>
      </c>
      <c r="D292" s="12" t="s">
        <v>106</v>
      </c>
      <c r="E292" s="12" t="s">
        <v>1370</v>
      </c>
      <c r="F292" s="19"/>
    </row>
    <row r="293" customFormat="false" ht="23.85" hidden="false" customHeight="false" outlineLevel="0" collapsed="false">
      <c r="A293" s="18" t="s">
        <v>198</v>
      </c>
      <c r="B293" s="12" t="s">
        <v>183</v>
      </c>
      <c r="C293" s="12" t="s">
        <v>199</v>
      </c>
      <c r="D293" s="12" t="s">
        <v>201</v>
      </c>
      <c r="E293" s="12" t="s">
        <v>1371</v>
      </c>
      <c r="F293" s="19"/>
    </row>
    <row r="294" customFormat="false" ht="23.85" hidden="false" customHeight="false" outlineLevel="0" collapsed="false">
      <c r="A294" s="18" t="s">
        <v>198</v>
      </c>
      <c r="B294" s="12" t="s">
        <v>183</v>
      </c>
      <c r="C294" s="12" t="s">
        <v>199</v>
      </c>
      <c r="D294" s="12" t="s">
        <v>1372</v>
      </c>
      <c r="E294" s="12" t="s">
        <v>1373</v>
      </c>
      <c r="F294" s="19"/>
    </row>
    <row r="295" customFormat="false" ht="23.85" hidden="false" customHeight="false" outlineLevel="0" collapsed="false">
      <c r="A295" s="18" t="s">
        <v>198</v>
      </c>
      <c r="B295" s="12" t="s">
        <v>183</v>
      </c>
      <c r="C295" s="12" t="s">
        <v>199</v>
      </c>
      <c r="D295" s="12" t="s">
        <v>1374</v>
      </c>
      <c r="E295" s="12" t="s">
        <v>1375</v>
      </c>
      <c r="F295" s="19" t="s">
        <v>1376</v>
      </c>
    </row>
    <row r="296" customFormat="false" ht="23.85" hidden="false" customHeight="false" outlineLevel="0" collapsed="false">
      <c r="A296" s="35" t="s">
        <v>198</v>
      </c>
      <c r="B296" s="34" t="s">
        <v>183</v>
      </c>
      <c r="C296" s="34" t="s">
        <v>199</v>
      </c>
      <c r="D296" s="34" t="s">
        <v>909</v>
      </c>
      <c r="E296" s="34" t="s">
        <v>910</v>
      </c>
      <c r="F296" s="36" t="s">
        <v>911</v>
      </c>
    </row>
    <row r="297" customFormat="false" ht="23.85" hidden="false" customHeight="false" outlineLevel="0" collapsed="false">
      <c r="A297" s="18" t="s">
        <v>202</v>
      </c>
      <c r="B297" s="12" t="s">
        <v>203</v>
      </c>
      <c r="C297" s="12" t="s">
        <v>204</v>
      </c>
      <c r="D297" s="12" t="s">
        <v>1377</v>
      </c>
      <c r="E297" s="12" t="s">
        <v>1378</v>
      </c>
      <c r="F297" s="19"/>
    </row>
    <row r="298" customFormat="false" ht="23.85" hidden="false" customHeight="false" outlineLevel="0" collapsed="false">
      <c r="A298" s="18" t="s">
        <v>202</v>
      </c>
      <c r="B298" s="12" t="s">
        <v>203</v>
      </c>
      <c r="C298" s="12" t="s">
        <v>204</v>
      </c>
      <c r="D298" s="12" t="s">
        <v>205</v>
      </c>
      <c r="E298" s="12" t="s">
        <v>1379</v>
      </c>
      <c r="F298" s="19"/>
    </row>
    <row r="299" customFormat="false" ht="23.85" hidden="false" customHeight="false" outlineLevel="0" collapsed="false">
      <c r="A299" s="18" t="s">
        <v>202</v>
      </c>
      <c r="B299" s="12" t="s">
        <v>203</v>
      </c>
      <c r="C299" s="12" t="s">
        <v>204</v>
      </c>
      <c r="D299" s="12" t="s">
        <v>1380</v>
      </c>
      <c r="E299" s="12" t="s">
        <v>1381</v>
      </c>
      <c r="F299" s="19"/>
    </row>
    <row r="300" customFormat="false" ht="23.85" hidden="false" customHeight="false" outlineLevel="0" collapsed="false">
      <c r="A300" s="18" t="s">
        <v>202</v>
      </c>
      <c r="B300" s="12" t="s">
        <v>203</v>
      </c>
      <c r="C300" s="12" t="s">
        <v>204</v>
      </c>
      <c r="D300" s="12" t="s">
        <v>1382</v>
      </c>
      <c r="E300" s="12" t="s">
        <v>1383</v>
      </c>
      <c r="F300" s="19"/>
    </row>
    <row r="301" customFormat="false" ht="23.85" hidden="false" customHeight="false" outlineLevel="0" collapsed="false">
      <c r="A301" s="18" t="s">
        <v>202</v>
      </c>
      <c r="B301" s="12" t="s">
        <v>203</v>
      </c>
      <c r="C301" s="12" t="s">
        <v>204</v>
      </c>
      <c r="D301" s="12" t="s">
        <v>1384</v>
      </c>
      <c r="E301" s="12" t="s">
        <v>1385</v>
      </c>
      <c r="F301" s="19" t="s">
        <v>1386</v>
      </c>
    </row>
    <row r="302" customFormat="false" ht="23.85" hidden="false" customHeight="false" outlineLevel="0" collapsed="false">
      <c r="A302" s="35" t="s">
        <v>202</v>
      </c>
      <c r="B302" s="34" t="s">
        <v>203</v>
      </c>
      <c r="C302" s="34" t="s">
        <v>204</v>
      </c>
      <c r="D302" s="34" t="s">
        <v>909</v>
      </c>
      <c r="E302" s="34" t="s">
        <v>910</v>
      </c>
      <c r="F302" s="36" t="s">
        <v>911</v>
      </c>
    </row>
    <row r="303" customFormat="false" ht="15" hidden="false" customHeight="false" outlineLevel="0" collapsed="false">
      <c r="A303" s="18" t="s">
        <v>206</v>
      </c>
      <c r="B303" s="12" t="s">
        <v>203</v>
      </c>
      <c r="C303" s="12" t="s">
        <v>207</v>
      </c>
      <c r="D303" s="12" t="s">
        <v>208</v>
      </c>
      <c r="E303" s="12" t="s">
        <v>1387</v>
      </c>
      <c r="F303" s="19"/>
    </row>
    <row r="304" customFormat="false" ht="15" hidden="false" customHeight="false" outlineLevel="0" collapsed="false">
      <c r="A304" s="18" t="s">
        <v>206</v>
      </c>
      <c r="B304" s="12" t="s">
        <v>203</v>
      </c>
      <c r="C304" s="12" t="s">
        <v>207</v>
      </c>
      <c r="D304" s="12" t="s">
        <v>1112</v>
      </c>
      <c r="E304" s="12" t="s">
        <v>1388</v>
      </c>
      <c r="F304" s="19" t="s">
        <v>1389</v>
      </c>
    </row>
    <row r="305" customFormat="false" ht="15" hidden="false" customHeight="false" outlineLevel="0" collapsed="false">
      <c r="A305" s="18" t="s">
        <v>206</v>
      </c>
      <c r="B305" s="12" t="s">
        <v>203</v>
      </c>
      <c r="C305" s="12" t="s">
        <v>207</v>
      </c>
      <c r="D305" s="12" t="s">
        <v>1390</v>
      </c>
      <c r="E305" s="12" t="s">
        <v>1391</v>
      </c>
      <c r="F305" s="19"/>
    </row>
    <row r="306" customFormat="false" ht="15" hidden="false" customHeight="false" outlineLevel="0" collapsed="false">
      <c r="A306" s="18" t="s">
        <v>206</v>
      </c>
      <c r="B306" s="12" t="s">
        <v>203</v>
      </c>
      <c r="C306" s="12" t="s">
        <v>207</v>
      </c>
      <c r="D306" s="12" t="s">
        <v>1392</v>
      </c>
      <c r="E306" s="12" t="s">
        <v>1393</v>
      </c>
      <c r="F306" s="19" t="s">
        <v>1394</v>
      </c>
    </row>
    <row r="307" customFormat="false" ht="15" hidden="false" customHeight="false" outlineLevel="0" collapsed="false">
      <c r="A307" s="18" t="s">
        <v>206</v>
      </c>
      <c r="B307" s="12" t="s">
        <v>203</v>
      </c>
      <c r="C307" s="12" t="s">
        <v>207</v>
      </c>
      <c r="D307" s="12" t="s">
        <v>325</v>
      </c>
      <c r="E307" s="12" t="s">
        <v>1395</v>
      </c>
      <c r="F307" s="19" t="s">
        <v>1396</v>
      </c>
    </row>
    <row r="308" customFormat="false" ht="15" hidden="false" customHeight="false" outlineLevel="0" collapsed="false">
      <c r="A308" s="35" t="s">
        <v>206</v>
      </c>
      <c r="B308" s="34" t="s">
        <v>203</v>
      </c>
      <c r="C308" s="34" t="s">
        <v>207</v>
      </c>
      <c r="D308" s="34" t="s">
        <v>909</v>
      </c>
      <c r="E308" s="34" t="s">
        <v>910</v>
      </c>
      <c r="F308" s="36" t="s">
        <v>911</v>
      </c>
    </row>
    <row r="309" customFormat="false" ht="23.85" hidden="false" customHeight="false" outlineLevel="0" collapsed="false">
      <c r="A309" s="18" t="s">
        <v>209</v>
      </c>
      <c r="B309" s="12" t="s">
        <v>203</v>
      </c>
      <c r="C309" s="12" t="s">
        <v>210</v>
      </c>
      <c r="D309" s="12" t="s">
        <v>1033</v>
      </c>
      <c r="E309" s="12" t="s">
        <v>1397</v>
      </c>
      <c r="F309" s="19"/>
    </row>
    <row r="310" customFormat="false" ht="23.85" hidden="false" customHeight="false" outlineLevel="0" collapsed="false">
      <c r="A310" s="18" t="s">
        <v>209</v>
      </c>
      <c r="B310" s="12" t="s">
        <v>203</v>
      </c>
      <c r="C310" s="12" t="s">
        <v>210</v>
      </c>
      <c r="D310" s="12" t="s">
        <v>211</v>
      </c>
      <c r="E310" s="12" t="s">
        <v>1398</v>
      </c>
      <c r="F310" s="19"/>
    </row>
    <row r="311" customFormat="false" ht="23.85" hidden="false" customHeight="false" outlineLevel="0" collapsed="false">
      <c r="A311" s="18" t="s">
        <v>209</v>
      </c>
      <c r="B311" s="12" t="s">
        <v>203</v>
      </c>
      <c r="C311" s="12" t="s">
        <v>210</v>
      </c>
      <c r="D311" s="12" t="s">
        <v>1399</v>
      </c>
      <c r="E311" s="12" t="s">
        <v>1400</v>
      </c>
      <c r="F311" s="19" t="s">
        <v>1401</v>
      </c>
    </row>
    <row r="312" customFormat="false" ht="23.85" hidden="false" customHeight="false" outlineLevel="0" collapsed="false">
      <c r="A312" s="18" t="s">
        <v>209</v>
      </c>
      <c r="B312" s="12" t="s">
        <v>203</v>
      </c>
      <c r="C312" s="12" t="s">
        <v>210</v>
      </c>
      <c r="D312" s="12" t="s">
        <v>1402</v>
      </c>
      <c r="E312" s="12" t="s">
        <v>1403</v>
      </c>
      <c r="F312" s="19"/>
    </row>
    <row r="313" customFormat="false" ht="23.85" hidden="false" customHeight="false" outlineLevel="0" collapsed="false">
      <c r="A313" s="18" t="s">
        <v>209</v>
      </c>
      <c r="B313" s="12" t="s">
        <v>203</v>
      </c>
      <c r="C313" s="12" t="s">
        <v>210</v>
      </c>
      <c r="D313" s="12" t="s">
        <v>1404</v>
      </c>
      <c r="E313" s="12" t="s">
        <v>1405</v>
      </c>
      <c r="F313" s="19"/>
    </row>
    <row r="314" customFormat="false" ht="23.85" hidden="false" customHeight="false" outlineLevel="0" collapsed="false">
      <c r="A314" s="35" t="s">
        <v>209</v>
      </c>
      <c r="B314" s="34" t="s">
        <v>203</v>
      </c>
      <c r="C314" s="34" t="s">
        <v>210</v>
      </c>
      <c r="D314" s="34" t="s">
        <v>909</v>
      </c>
      <c r="E314" s="34" t="s">
        <v>910</v>
      </c>
      <c r="F314" s="36" t="s">
        <v>911</v>
      </c>
    </row>
    <row r="315" customFormat="false" ht="15" hidden="false" customHeight="false" outlineLevel="0" collapsed="false">
      <c r="A315" s="18" t="s">
        <v>212</v>
      </c>
      <c r="B315" s="12" t="s">
        <v>203</v>
      </c>
      <c r="C315" s="12" t="s">
        <v>213</v>
      </c>
      <c r="D315" s="12" t="s">
        <v>106</v>
      </c>
      <c r="E315" s="12" t="s">
        <v>1091</v>
      </c>
      <c r="F315" s="19"/>
    </row>
    <row r="316" customFormat="false" ht="15" hidden="false" customHeight="false" outlineLevel="0" collapsed="false">
      <c r="A316" s="18" t="s">
        <v>212</v>
      </c>
      <c r="B316" s="12" t="s">
        <v>203</v>
      </c>
      <c r="C316" s="12" t="s">
        <v>213</v>
      </c>
      <c r="D316" s="12" t="s">
        <v>1406</v>
      </c>
      <c r="E316" s="12" t="s">
        <v>1407</v>
      </c>
      <c r="F316" s="19" t="s">
        <v>1408</v>
      </c>
    </row>
    <row r="317" customFormat="false" ht="15" hidden="false" customHeight="false" outlineLevel="0" collapsed="false">
      <c r="A317" s="18" t="s">
        <v>212</v>
      </c>
      <c r="B317" s="12" t="s">
        <v>203</v>
      </c>
      <c r="C317" s="12" t="s">
        <v>213</v>
      </c>
      <c r="D317" s="12" t="s">
        <v>1364</v>
      </c>
      <c r="E317" s="12" t="s">
        <v>1409</v>
      </c>
      <c r="F317" s="19"/>
    </row>
    <row r="318" customFormat="false" ht="15" hidden="false" customHeight="false" outlineLevel="0" collapsed="false">
      <c r="A318" s="18" t="s">
        <v>212</v>
      </c>
      <c r="B318" s="12" t="s">
        <v>203</v>
      </c>
      <c r="C318" s="12" t="s">
        <v>213</v>
      </c>
      <c r="D318" s="12" t="s">
        <v>1410</v>
      </c>
      <c r="E318" s="12" t="s">
        <v>1411</v>
      </c>
      <c r="F318" s="19" t="s">
        <v>1412</v>
      </c>
    </row>
    <row r="319" customFormat="false" ht="15" hidden="false" customHeight="false" outlineLevel="0" collapsed="false">
      <c r="A319" s="35" t="s">
        <v>212</v>
      </c>
      <c r="B319" s="34" t="s">
        <v>203</v>
      </c>
      <c r="C319" s="34" t="s">
        <v>213</v>
      </c>
      <c r="D319" s="34" t="s">
        <v>909</v>
      </c>
      <c r="E319" s="34" t="s">
        <v>910</v>
      </c>
      <c r="F319" s="36" t="s">
        <v>911</v>
      </c>
    </row>
    <row r="320" customFormat="false" ht="23.85" hidden="false" customHeight="false" outlineLevel="0" collapsed="false">
      <c r="A320" s="18" t="s">
        <v>214</v>
      </c>
      <c r="B320" s="12" t="s">
        <v>203</v>
      </c>
      <c r="C320" s="12" t="s">
        <v>215</v>
      </c>
      <c r="D320" s="12" t="s">
        <v>75</v>
      </c>
      <c r="E320" s="12" t="s">
        <v>1246</v>
      </c>
      <c r="F320" s="19"/>
    </row>
    <row r="321" customFormat="false" ht="23.85" hidden="false" customHeight="false" outlineLevel="0" collapsed="false">
      <c r="A321" s="18" t="s">
        <v>214</v>
      </c>
      <c r="B321" s="12" t="s">
        <v>203</v>
      </c>
      <c r="C321" s="12" t="s">
        <v>215</v>
      </c>
      <c r="D321" s="12" t="s">
        <v>1413</v>
      </c>
      <c r="E321" s="12" t="s">
        <v>1414</v>
      </c>
      <c r="F321" s="19"/>
    </row>
    <row r="322" customFormat="false" ht="23.85" hidden="false" customHeight="false" outlineLevel="0" collapsed="false">
      <c r="A322" s="18" t="s">
        <v>214</v>
      </c>
      <c r="B322" s="12" t="s">
        <v>203</v>
      </c>
      <c r="C322" s="12" t="s">
        <v>215</v>
      </c>
      <c r="D322" s="12" t="s">
        <v>1415</v>
      </c>
      <c r="E322" s="12" t="s">
        <v>1416</v>
      </c>
      <c r="F322" s="19"/>
    </row>
    <row r="323" customFormat="false" ht="23.85" hidden="false" customHeight="false" outlineLevel="0" collapsed="false">
      <c r="A323" s="18" t="s">
        <v>214</v>
      </c>
      <c r="B323" s="12" t="s">
        <v>203</v>
      </c>
      <c r="C323" s="12" t="s">
        <v>215</v>
      </c>
      <c r="D323" s="12" t="s">
        <v>1417</v>
      </c>
      <c r="E323" s="12" t="s">
        <v>1418</v>
      </c>
      <c r="F323" s="19"/>
    </row>
    <row r="324" customFormat="false" ht="23.85" hidden="false" customHeight="false" outlineLevel="0" collapsed="false">
      <c r="A324" s="18" t="s">
        <v>214</v>
      </c>
      <c r="B324" s="12" t="s">
        <v>203</v>
      </c>
      <c r="C324" s="12" t="s">
        <v>215</v>
      </c>
      <c r="D324" s="12" t="s">
        <v>1419</v>
      </c>
      <c r="E324" s="12" t="s">
        <v>1420</v>
      </c>
      <c r="F324" s="19"/>
    </row>
    <row r="325" customFormat="false" ht="23.85" hidden="false" customHeight="false" outlineLevel="0" collapsed="false">
      <c r="A325" s="18" t="s">
        <v>214</v>
      </c>
      <c r="B325" s="12" t="s">
        <v>203</v>
      </c>
      <c r="C325" s="12" t="s">
        <v>215</v>
      </c>
      <c r="D325" s="12" t="s">
        <v>1421</v>
      </c>
      <c r="E325" s="12" t="s">
        <v>1422</v>
      </c>
      <c r="F325" s="19"/>
    </row>
    <row r="326" customFormat="false" ht="23.85" hidden="false" customHeight="false" outlineLevel="0" collapsed="false">
      <c r="A326" s="18" t="s">
        <v>214</v>
      </c>
      <c r="B326" s="12" t="s">
        <v>203</v>
      </c>
      <c r="C326" s="12" t="s">
        <v>215</v>
      </c>
      <c r="D326" s="12" t="s">
        <v>1423</v>
      </c>
      <c r="E326" s="12" t="s">
        <v>1424</v>
      </c>
      <c r="F326" s="19"/>
    </row>
    <row r="327" customFormat="false" ht="23.85" hidden="false" customHeight="false" outlineLevel="0" collapsed="false">
      <c r="A327" s="18" t="s">
        <v>214</v>
      </c>
      <c r="B327" s="12" t="s">
        <v>203</v>
      </c>
      <c r="C327" s="12" t="s">
        <v>215</v>
      </c>
      <c r="D327" s="12" t="s">
        <v>1425</v>
      </c>
      <c r="E327" s="12" t="s">
        <v>1426</v>
      </c>
      <c r="F327" s="19"/>
    </row>
    <row r="328" customFormat="false" ht="23.85" hidden="false" customHeight="false" outlineLevel="0" collapsed="false">
      <c r="A328" s="18" t="s">
        <v>214</v>
      </c>
      <c r="B328" s="12" t="s">
        <v>203</v>
      </c>
      <c r="C328" s="12" t="s">
        <v>215</v>
      </c>
      <c r="D328" s="12" t="s">
        <v>1427</v>
      </c>
      <c r="E328" s="12" t="s">
        <v>1428</v>
      </c>
      <c r="F328" s="19"/>
    </row>
    <row r="329" customFormat="false" ht="23.85" hidden="false" customHeight="false" outlineLevel="0" collapsed="false">
      <c r="A329" s="35" t="s">
        <v>214</v>
      </c>
      <c r="B329" s="34" t="s">
        <v>203</v>
      </c>
      <c r="C329" s="34" t="s">
        <v>215</v>
      </c>
      <c r="D329" s="34" t="s">
        <v>909</v>
      </c>
      <c r="E329" s="34" t="s">
        <v>910</v>
      </c>
      <c r="F329" s="36" t="s">
        <v>911</v>
      </c>
    </row>
    <row r="330" customFormat="false" ht="15" hidden="false" customHeight="false" outlineLevel="0" collapsed="false">
      <c r="A330" s="18" t="s">
        <v>216</v>
      </c>
      <c r="B330" s="12" t="s">
        <v>203</v>
      </c>
      <c r="C330" s="12" t="s">
        <v>217</v>
      </c>
      <c r="D330" s="12" t="s">
        <v>106</v>
      </c>
      <c r="E330" s="12" t="s">
        <v>1429</v>
      </c>
      <c r="F330" s="19"/>
    </row>
    <row r="331" customFormat="false" ht="15" hidden="false" customHeight="false" outlineLevel="0" collapsed="false">
      <c r="A331" s="18" t="s">
        <v>216</v>
      </c>
      <c r="B331" s="12" t="s">
        <v>203</v>
      </c>
      <c r="C331" s="12" t="s">
        <v>217</v>
      </c>
      <c r="D331" s="12" t="s">
        <v>1430</v>
      </c>
      <c r="E331" s="12" t="s">
        <v>1431</v>
      </c>
      <c r="F331" s="19"/>
    </row>
    <row r="332" customFormat="false" ht="15" hidden="false" customHeight="false" outlineLevel="0" collapsed="false">
      <c r="A332" s="18" t="s">
        <v>216</v>
      </c>
      <c r="B332" s="12" t="s">
        <v>203</v>
      </c>
      <c r="C332" s="12" t="s">
        <v>217</v>
      </c>
      <c r="D332" s="12" t="s">
        <v>1432</v>
      </c>
      <c r="E332" s="12" t="s">
        <v>1433</v>
      </c>
      <c r="F332" s="19"/>
    </row>
    <row r="333" customFormat="false" ht="15" hidden="false" customHeight="false" outlineLevel="0" collapsed="false">
      <c r="A333" s="35" t="s">
        <v>216</v>
      </c>
      <c r="B333" s="34" t="s">
        <v>203</v>
      </c>
      <c r="C333" s="34" t="s">
        <v>217</v>
      </c>
      <c r="D333" s="34" t="s">
        <v>909</v>
      </c>
      <c r="E333" s="34" t="s">
        <v>910</v>
      </c>
      <c r="F333" s="36" t="s">
        <v>911</v>
      </c>
    </row>
    <row r="334" customFormat="false" ht="15" hidden="false" customHeight="false" outlineLevel="0" collapsed="false">
      <c r="A334" s="18" t="s">
        <v>219</v>
      </c>
      <c r="B334" s="12" t="s">
        <v>203</v>
      </c>
      <c r="C334" s="12" t="s">
        <v>220</v>
      </c>
      <c r="D334" s="12" t="s">
        <v>106</v>
      </c>
      <c r="E334" s="12" t="s">
        <v>1434</v>
      </c>
      <c r="F334" s="19"/>
    </row>
    <row r="335" customFormat="false" ht="15" hidden="false" customHeight="false" outlineLevel="0" collapsed="false">
      <c r="A335" s="18" t="s">
        <v>219</v>
      </c>
      <c r="B335" s="12" t="s">
        <v>203</v>
      </c>
      <c r="C335" s="12" t="s">
        <v>220</v>
      </c>
      <c r="D335" s="12" t="s">
        <v>1435</v>
      </c>
      <c r="E335" s="12" t="s">
        <v>1436</v>
      </c>
      <c r="F335" s="19" t="s">
        <v>1437</v>
      </c>
    </row>
    <row r="336" customFormat="false" ht="15" hidden="false" customHeight="false" outlineLevel="0" collapsed="false">
      <c r="A336" s="18" t="s">
        <v>219</v>
      </c>
      <c r="B336" s="12" t="s">
        <v>203</v>
      </c>
      <c r="C336" s="12" t="s">
        <v>220</v>
      </c>
      <c r="D336" s="12" t="s">
        <v>1063</v>
      </c>
      <c r="E336" s="12" t="s">
        <v>1438</v>
      </c>
      <c r="F336" s="19"/>
    </row>
    <row r="337" customFormat="false" ht="15" hidden="false" customHeight="false" outlineLevel="0" collapsed="false">
      <c r="A337" s="35" t="s">
        <v>219</v>
      </c>
      <c r="B337" s="34" t="s">
        <v>203</v>
      </c>
      <c r="C337" s="34" t="s">
        <v>220</v>
      </c>
      <c r="D337" s="34" t="s">
        <v>909</v>
      </c>
      <c r="E337" s="34" t="s">
        <v>910</v>
      </c>
      <c r="F337" s="36" t="s">
        <v>911</v>
      </c>
    </row>
    <row r="338" customFormat="false" ht="15" hidden="false" customHeight="false" outlineLevel="0" collapsed="false">
      <c r="A338" s="18" t="s">
        <v>222</v>
      </c>
      <c r="B338" s="12" t="s">
        <v>203</v>
      </c>
      <c r="C338" s="12" t="s">
        <v>223</v>
      </c>
      <c r="D338" s="12" t="s">
        <v>106</v>
      </c>
      <c r="E338" s="12" t="s">
        <v>1091</v>
      </c>
      <c r="F338" s="19"/>
    </row>
    <row r="339" customFormat="false" ht="15" hidden="false" customHeight="false" outlineLevel="0" collapsed="false">
      <c r="A339" s="18" t="s">
        <v>222</v>
      </c>
      <c r="B339" s="12" t="s">
        <v>203</v>
      </c>
      <c r="C339" s="12" t="s">
        <v>223</v>
      </c>
      <c r="D339" s="12" t="s">
        <v>1439</v>
      </c>
      <c r="E339" s="12" t="s">
        <v>1440</v>
      </c>
      <c r="F339" s="19" t="s">
        <v>1441</v>
      </c>
    </row>
    <row r="340" customFormat="false" ht="15" hidden="false" customHeight="false" outlineLevel="0" collapsed="false">
      <c r="A340" s="18" t="s">
        <v>222</v>
      </c>
      <c r="B340" s="12" t="s">
        <v>203</v>
      </c>
      <c r="C340" s="12" t="s">
        <v>223</v>
      </c>
      <c r="D340" s="12" t="s">
        <v>1442</v>
      </c>
      <c r="E340" s="12" t="s">
        <v>1443</v>
      </c>
      <c r="F340" s="19"/>
    </row>
    <row r="341" customFormat="false" ht="15" hidden="false" customHeight="false" outlineLevel="0" collapsed="false">
      <c r="A341" s="35" t="s">
        <v>222</v>
      </c>
      <c r="B341" s="34" t="s">
        <v>203</v>
      </c>
      <c r="C341" s="34" t="s">
        <v>223</v>
      </c>
      <c r="D341" s="34" t="s">
        <v>909</v>
      </c>
      <c r="E341" s="34" t="s">
        <v>910</v>
      </c>
      <c r="F341" s="36" t="s">
        <v>911</v>
      </c>
    </row>
    <row r="342" customFormat="false" ht="15" hidden="false" customHeight="false" outlineLevel="0" collapsed="false">
      <c r="A342" s="18" t="s">
        <v>225</v>
      </c>
      <c r="B342" s="12" t="s">
        <v>203</v>
      </c>
      <c r="C342" s="12" t="s">
        <v>226</v>
      </c>
      <c r="D342" s="12" t="s">
        <v>106</v>
      </c>
      <c r="E342" s="12" t="s">
        <v>1091</v>
      </c>
      <c r="F342" s="19"/>
    </row>
    <row r="343" customFormat="false" ht="15" hidden="false" customHeight="false" outlineLevel="0" collapsed="false">
      <c r="A343" s="18" t="s">
        <v>225</v>
      </c>
      <c r="B343" s="12" t="s">
        <v>203</v>
      </c>
      <c r="C343" s="12" t="s">
        <v>226</v>
      </c>
      <c r="D343" s="12" t="s">
        <v>228</v>
      </c>
      <c r="E343" s="12" t="s">
        <v>1444</v>
      </c>
      <c r="F343" s="19"/>
    </row>
    <row r="344" customFormat="false" ht="23.85" hidden="false" customHeight="false" outlineLevel="0" collapsed="false">
      <c r="A344" s="18" t="s">
        <v>225</v>
      </c>
      <c r="B344" s="12" t="s">
        <v>203</v>
      </c>
      <c r="C344" s="12" t="s">
        <v>226</v>
      </c>
      <c r="D344" s="12" t="s">
        <v>1445</v>
      </c>
      <c r="E344" s="12" t="s">
        <v>1446</v>
      </c>
      <c r="F344" s="19"/>
    </row>
    <row r="345" customFormat="false" ht="15" hidden="false" customHeight="false" outlineLevel="0" collapsed="false">
      <c r="A345" s="35" t="s">
        <v>225</v>
      </c>
      <c r="B345" s="34" t="s">
        <v>203</v>
      </c>
      <c r="C345" s="34" t="s">
        <v>226</v>
      </c>
      <c r="D345" s="34" t="s">
        <v>909</v>
      </c>
      <c r="E345" s="34" t="s">
        <v>910</v>
      </c>
      <c r="F345" s="36" t="s">
        <v>911</v>
      </c>
    </row>
    <row r="346" customFormat="false" ht="15" hidden="false" customHeight="false" outlineLevel="0" collapsed="false">
      <c r="A346" s="18" t="s">
        <v>229</v>
      </c>
      <c r="B346" s="12" t="s">
        <v>230</v>
      </c>
      <c r="C346" s="12" t="s">
        <v>231</v>
      </c>
      <c r="D346" s="12" t="s">
        <v>189</v>
      </c>
      <c r="E346" s="12" t="s">
        <v>1447</v>
      </c>
      <c r="F346" s="19" t="s">
        <v>1448</v>
      </c>
    </row>
    <row r="347" customFormat="false" ht="15" hidden="false" customHeight="false" outlineLevel="0" collapsed="false">
      <c r="A347" s="18" t="s">
        <v>229</v>
      </c>
      <c r="B347" s="12" t="s">
        <v>230</v>
      </c>
      <c r="C347" s="12" t="s">
        <v>231</v>
      </c>
      <c r="D347" s="12" t="s">
        <v>1449</v>
      </c>
      <c r="E347" s="12" t="s">
        <v>1450</v>
      </c>
      <c r="F347" s="19" t="s">
        <v>1451</v>
      </c>
    </row>
    <row r="348" customFormat="false" ht="23.85" hidden="false" customHeight="false" outlineLevel="0" collapsed="false">
      <c r="A348" s="18" t="s">
        <v>229</v>
      </c>
      <c r="B348" s="12" t="s">
        <v>230</v>
      </c>
      <c r="C348" s="12" t="s">
        <v>231</v>
      </c>
      <c r="D348" s="12" t="s">
        <v>232</v>
      </c>
      <c r="E348" s="12" t="s">
        <v>1452</v>
      </c>
      <c r="F348" s="19" t="s">
        <v>1453</v>
      </c>
    </row>
    <row r="349" customFormat="false" ht="15" hidden="false" customHeight="false" outlineLevel="0" collapsed="false">
      <c r="A349" s="18" t="s">
        <v>229</v>
      </c>
      <c r="B349" s="12" t="s">
        <v>230</v>
      </c>
      <c r="C349" s="12" t="s">
        <v>231</v>
      </c>
      <c r="D349" s="12" t="s">
        <v>1127</v>
      </c>
      <c r="E349" s="12" t="s">
        <v>1454</v>
      </c>
      <c r="F349" s="19" t="s">
        <v>1455</v>
      </c>
    </row>
    <row r="350" customFormat="false" ht="15" hidden="false" customHeight="false" outlineLevel="0" collapsed="false">
      <c r="A350" s="18" t="s">
        <v>229</v>
      </c>
      <c r="B350" s="12" t="s">
        <v>230</v>
      </c>
      <c r="C350" s="12" t="s">
        <v>231</v>
      </c>
      <c r="D350" s="12" t="s">
        <v>1099</v>
      </c>
      <c r="E350" s="12" t="s">
        <v>1100</v>
      </c>
      <c r="F350" s="19" t="s">
        <v>1456</v>
      </c>
    </row>
    <row r="351" customFormat="false" ht="15" hidden="false" customHeight="false" outlineLevel="0" collapsed="false">
      <c r="A351" s="35" t="s">
        <v>229</v>
      </c>
      <c r="B351" s="34" t="s">
        <v>230</v>
      </c>
      <c r="C351" s="34" t="s">
        <v>231</v>
      </c>
      <c r="D351" s="34" t="s">
        <v>909</v>
      </c>
      <c r="E351" s="34" t="s">
        <v>910</v>
      </c>
      <c r="F351" s="36" t="s">
        <v>911</v>
      </c>
    </row>
    <row r="352" customFormat="false" ht="15" hidden="false" customHeight="false" outlineLevel="0" collapsed="false">
      <c r="A352" s="18" t="s">
        <v>233</v>
      </c>
      <c r="B352" s="12" t="s">
        <v>230</v>
      </c>
      <c r="C352" s="12" t="s">
        <v>234</v>
      </c>
      <c r="D352" s="12" t="s">
        <v>1457</v>
      </c>
      <c r="E352" s="12" t="s">
        <v>1458</v>
      </c>
      <c r="F352" s="19"/>
    </row>
    <row r="353" customFormat="false" ht="15" hidden="false" customHeight="false" outlineLevel="0" collapsed="false">
      <c r="A353" s="18" t="s">
        <v>233</v>
      </c>
      <c r="B353" s="12" t="s">
        <v>230</v>
      </c>
      <c r="C353" s="12" t="s">
        <v>234</v>
      </c>
      <c r="D353" s="12" t="s">
        <v>235</v>
      </c>
      <c r="E353" s="12" t="s">
        <v>1459</v>
      </c>
      <c r="F353" s="19" t="s">
        <v>1460</v>
      </c>
    </row>
    <row r="354" customFormat="false" ht="15" hidden="false" customHeight="false" outlineLevel="0" collapsed="false">
      <c r="A354" s="18" t="s">
        <v>233</v>
      </c>
      <c r="B354" s="12" t="s">
        <v>230</v>
      </c>
      <c r="C354" s="12" t="s">
        <v>234</v>
      </c>
      <c r="D354" s="12" t="s">
        <v>1402</v>
      </c>
      <c r="E354" s="12" t="s">
        <v>1461</v>
      </c>
      <c r="F354" s="19" t="s">
        <v>1462</v>
      </c>
    </row>
    <row r="355" customFormat="false" ht="15" hidden="false" customHeight="false" outlineLevel="0" collapsed="false">
      <c r="A355" s="18" t="s">
        <v>233</v>
      </c>
      <c r="B355" s="12" t="s">
        <v>230</v>
      </c>
      <c r="C355" s="12" t="s">
        <v>234</v>
      </c>
      <c r="D355" s="12" t="s">
        <v>1121</v>
      </c>
      <c r="E355" s="12" t="s">
        <v>1463</v>
      </c>
      <c r="F355" s="19"/>
    </row>
    <row r="356" customFormat="false" ht="15" hidden="false" customHeight="false" outlineLevel="0" collapsed="false">
      <c r="A356" s="18" t="s">
        <v>233</v>
      </c>
      <c r="B356" s="12" t="s">
        <v>230</v>
      </c>
      <c r="C356" s="12" t="s">
        <v>234</v>
      </c>
      <c r="D356" s="12" t="s">
        <v>1464</v>
      </c>
      <c r="E356" s="12" t="s">
        <v>1465</v>
      </c>
      <c r="F356" s="19"/>
    </row>
    <row r="357" customFormat="false" ht="15" hidden="false" customHeight="false" outlineLevel="0" collapsed="false">
      <c r="A357" s="35" t="s">
        <v>233</v>
      </c>
      <c r="B357" s="34" t="s">
        <v>230</v>
      </c>
      <c r="C357" s="34" t="s">
        <v>234</v>
      </c>
      <c r="D357" s="34" t="s">
        <v>909</v>
      </c>
      <c r="E357" s="34" t="s">
        <v>910</v>
      </c>
      <c r="F357" s="36" t="s">
        <v>911</v>
      </c>
    </row>
    <row r="358" customFormat="false" ht="15" hidden="false" customHeight="false" outlineLevel="0" collapsed="false">
      <c r="A358" s="18" t="s">
        <v>236</v>
      </c>
      <c r="B358" s="12" t="s">
        <v>230</v>
      </c>
      <c r="C358" s="12" t="s">
        <v>237</v>
      </c>
      <c r="D358" s="12" t="s">
        <v>1466</v>
      </c>
      <c r="E358" s="12" t="s">
        <v>1467</v>
      </c>
      <c r="F358" s="19"/>
    </row>
    <row r="359" customFormat="false" ht="23.85" hidden="false" customHeight="false" outlineLevel="0" collapsed="false">
      <c r="A359" s="18" t="s">
        <v>236</v>
      </c>
      <c r="B359" s="12" t="s">
        <v>230</v>
      </c>
      <c r="C359" s="12" t="s">
        <v>237</v>
      </c>
      <c r="D359" s="12" t="s">
        <v>238</v>
      </c>
      <c r="E359" s="12" t="s">
        <v>1468</v>
      </c>
      <c r="F359" s="19" t="s">
        <v>1469</v>
      </c>
    </row>
    <row r="360" customFormat="false" ht="15" hidden="false" customHeight="false" outlineLevel="0" collapsed="false">
      <c r="A360" s="18" t="s">
        <v>236</v>
      </c>
      <c r="B360" s="12" t="s">
        <v>230</v>
      </c>
      <c r="C360" s="12" t="s">
        <v>237</v>
      </c>
      <c r="D360" s="12" t="s">
        <v>1470</v>
      </c>
      <c r="E360" s="12" t="s">
        <v>1471</v>
      </c>
      <c r="F360" s="19"/>
    </row>
    <row r="361" customFormat="false" ht="15" hidden="false" customHeight="false" outlineLevel="0" collapsed="false">
      <c r="A361" s="18" t="s">
        <v>236</v>
      </c>
      <c r="B361" s="12" t="s">
        <v>230</v>
      </c>
      <c r="C361" s="12" t="s">
        <v>237</v>
      </c>
      <c r="D361" s="12" t="s">
        <v>75</v>
      </c>
      <c r="E361" s="12" t="s">
        <v>1472</v>
      </c>
      <c r="F361" s="19"/>
    </row>
    <row r="362" customFormat="false" ht="15" hidden="false" customHeight="false" outlineLevel="0" collapsed="false">
      <c r="A362" s="35" t="s">
        <v>236</v>
      </c>
      <c r="B362" s="34" t="s">
        <v>230</v>
      </c>
      <c r="C362" s="34" t="s">
        <v>237</v>
      </c>
      <c r="D362" s="34" t="s">
        <v>909</v>
      </c>
      <c r="E362" s="34" t="s">
        <v>910</v>
      </c>
      <c r="F362" s="36" t="s">
        <v>911</v>
      </c>
    </row>
    <row r="363" customFormat="false" ht="15" hidden="false" customHeight="false" outlineLevel="0" collapsed="false">
      <c r="A363" s="18" t="s">
        <v>239</v>
      </c>
      <c r="B363" s="12" t="s">
        <v>230</v>
      </c>
      <c r="C363" s="12" t="s">
        <v>240</v>
      </c>
      <c r="D363" s="12" t="s">
        <v>106</v>
      </c>
      <c r="E363" s="12" t="s">
        <v>1091</v>
      </c>
      <c r="F363" s="19"/>
    </row>
    <row r="364" customFormat="false" ht="15" hidden="false" customHeight="false" outlineLevel="0" collapsed="false">
      <c r="A364" s="18" t="s">
        <v>239</v>
      </c>
      <c r="B364" s="12" t="s">
        <v>230</v>
      </c>
      <c r="C364" s="12" t="s">
        <v>240</v>
      </c>
      <c r="D364" s="12" t="s">
        <v>241</v>
      </c>
      <c r="E364" s="12" t="s">
        <v>1473</v>
      </c>
      <c r="F364" s="19"/>
    </row>
    <row r="365" customFormat="false" ht="15" hidden="false" customHeight="false" outlineLevel="0" collapsed="false">
      <c r="A365" s="18" t="s">
        <v>239</v>
      </c>
      <c r="B365" s="12" t="s">
        <v>230</v>
      </c>
      <c r="C365" s="12" t="s">
        <v>240</v>
      </c>
      <c r="D365" s="12" t="s">
        <v>1280</v>
      </c>
      <c r="E365" s="12" t="s">
        <v>1474</v>
      </c>
      <c r="F365" s="19"/>
    </row>
    <row r="366" customFormat="false" ht="23.85" hidden="false" customHeight="false" outlineLevel="0" collapsed="false">
      <c r="A366" s="18" t="s">
        <v>239</v>
      </c>
      <c r="B366" s="12" t="s">
        <v>230</v>
      </c>
      <c r="C366" s="12" t="s">
        <v>240</v>
      </c>
      <c r="D366" s="12" t="s">
        <v>1475</v>
      </c>
      <c r="E366" s="12" t="s">
        <v>1476</v>
      </c>
      <c r="F366" s="19"/>
    </row>
    <row r="367" customFormat="false" ht="15" hidden="false" customHeight="false" outlineLevel="0" collapsed="false">
      <c r="A367" s="18" t="s">
        <v>239</v>
      </c>
      <c r="B367" s="12" t="s">
        <v>230</v>
      </c>
      <c r="C367" s="12" t="s">
        <v>240</v>
      </c>
      <c r="D367" s="12" t="s">
        <v>1477</v>
      </c>
      <c r="E367" s="12" t="s">
        <v>1478</v>
      </c>
      <c r="F367" s="19" t="s">
        <v>1479</v>
      </c>
    </row>
    <row r="368" customFormat="false" ht="15" hidden="false" customHeight="false" outlineLevel="0" collapsed="false">
      <c r="A368" s="35" t="s">
        <v>239</v>
      </c>
      <c r="B368" s="34" t="s">
        <v>230</v>
      </c>
      <c r="C368" s="34" t="s">
        <v>240</v>
      </c>
      <c r="D368" s="34" t="s">
        <v>909</v>
      </c>
      <c r="E368" s="34" t="s">
        <v>910</v>
      </c>
      <c r="F368" s="36" t="s">
        <v>911</v>
      </c>
    </row>
    <row r="369" customFormat="false" ht="15" hidden="false" customHeight="false" outlineLevel="0" collapsed="false">
      <c r="A369" s="18" t="s">
        <v>242</v>
      </c>
      <c r="B369" s="12" t="s">
        <v>230</v>
      </c>
      <c r="C369" s="12" t="s">
        <v>243</v>
      </c>
      <c r="D369" s="12" t="s">
        <v>75</v>
      </c>
      <c r="E369" s="12" t="s">
        <v>1246</v>
      </c>
      <c r="F369" s="19"/>
    </row>
    <row r="370" customFormat="false" ht="15" hidden="false" customHeight="false" outlineLevel="0" collapsed="false">
      <c r="A370" s="18" t="s">
        <v>242</v>
      </c>
      <c r="B370" s="12" t="s">
        <v>230</v>
      </c>
      <c r="C370" s="12" t="s">
        <v>243</v>
      </c>
      <c r="D370" s="12" t="s">
        <v>244</v>
      </c>
      <c r="E370" s="12" t="s">
        <v>1480</v>
      </c>
      <c r="F370" s="19"/>
    </row>
    <row r="371" customFormat="false" ht="15" hidden="false" customHeight="false" outlineLevel="0" collapsed="false">
      <c r="A371" s="18" t="s">
        <v>242</v>
      </c>
      <c r="B371" s="12" t="s">
        <v>230</v>
      </c>
      <c r="C371" s="12" t="s">
        <v>243</v>
      </c>
      <c r="D371" s="12" t="s">
        <v>950</v>
      </c>
      <c r="E371" s="12" t="s">
        <v>1481</v>
      </c>
      <c r="F371" s="19"/>
    </row>
    <row r="372" customFormat="false" ht="15" hidden="false" customHeight="false" outlineLevel="0" collapsed="false">
      <c r="A372" s="18" t="s">
        <v>242</v>
      </c>
      <c r="B372" s="12" t="s">
        <v>230</v>
      </c>
      <c r="C372" s="12" t="s">
        <v>243</v>
      </c>
      <c r="D372" s="12" t="s">
        <v>1277</v>
      </c>
      <c r="E372" s="12" t="s">
        <v>1482</v>
      </c>
      <c r="F372" s="19"/>
    </row>
    <row r="373" customFormat="false" ht="15" hidden="false" customHeight="false" outlineLevel="0" collapsed="false">
      <c r="A373" s="18" t="s">
        <v>242</v>
      </c>
      <c r="B373" s="12" t="s">
        <v>230</v>
      </c>
      <c r="C373" s="12" t="s">
        <v>243</v>
      </c>
      <c r="D373" s="12" t="s">
        <v>1254</v>
      </c>
      <c r="E373" s="12" t="s">
        <v>1483</v>
      </c>
      <c r="F373" s="19"/>
    </row>
    <row r="374" customFormat="false" ht="15" hidden="false" customHeight="false" outlineLevel="0" collapsed="false">
      <c r="A374" s="18" t="s">
        <v>242</v>
      </c>
      <c r="B374" s="12" t="s">
        <v>230</v>
      </c>
      <c r="C374" s="12" t="s">
        <v>243</v>
      </c>
      <c r="D374" s="12" t="s">
        <v>1258</v>
      </c>
      <c r="E374" s="12" t="s">
        <v>1484</v>
      </c>
      <c r="F374" s="19"/>
    </row>
    <row r="375" customFormat="false" ht="15" hidden="false" customHeight="false" outlineLevel="0" collapsed="false">
      <c r="A375" s="18" t="s">
        <v>242</v>
      </c>
      <c r="B375" s="12" t="s">
        <v>230</v>
      </c>
      <c r="C375" s="12" t="s">
        <v>243</v>
      </c>
      <c r="D375" s="12" t="s">
        <v>1485</v>
      </c>
      <c r="E375" s="12" t="s">
        <v>1486</v>
      </c>
      <c r="F375" s="19"/>
    </row>
    <row r="376" customFormat="false" ht="15" hidden="false" customHeight="false" outlineLevel="0" collapsed="false">
      <c r="A376" s="18" t="s">
        <v>242</v>
      </c>
      <c r="B376" s="12" t="s">
        <v>230</v>
      </c>
      <c r="C376" s="12" t="s">
        <v>243</v>
      </c>
      <c r="D376" s="12" t="s">
        <v>238</v>
      </c>
      <c r="E376" s="12" t="s">
        <v>1487</v>
      </c>
      <c r="F376" s="19"/>
    </row>
    <row r="377" customFormat="false" ht="15" hidden="false" customHeight="false" outlineLevel="0" collapsed="false">
      <c r="A377" s="35" t="s">
        <v>242</v>
      </c>
      <c r="B377" s="34" t="s">
        <v>230</v>
      </c>
      <c r="C377" s="34" t="s">
        <v>243</v>
      </c>
      <c r="D377" s="34" t="s">
        <v>909</v>
      </c>
      <c r="E377" s="34" t="s">
        <v>910</v>
      </c>
      <c r="F377" s="36" t="s">
        <v>911</v>
      </c>
    </row>
    <row r="378" customFormat="false" ht="15" hidden="false" customHeight="false" outlineLevel="0" collapsed="false">
      <c r="A378" s="18" t="s">
        <v>245</v>
      </c>
      <c r="B378" s="12" t="s">
        <v>230</v>
      </c>
      <c r="C378" s="12" t="s">
        <v>246</v>
      </c>
      <c r="D378" s="12" t="s">
        <v>106</v>
      </c>
      <c r="E378" s="12" t="s">
        <v>1091</v>
      </c>
      <c r="F378" s="19"/>
    </row>
    <row r="379" customFormat="false" ht="15" hidden="false" customHeight="false" outlineLevel="0" collapsed="false">
      <c r="A379" s="18" t="s">
        <v>245</v>
      </c>
      <c r="B379" s="12" t="s">
        <v>230</v>
      </c>
      <c r="C379" s="12" t="s">
        <v>246</v>
      </c>
      <c r="D379" s="12" t="s">
        <v>1488</v>
      </c>
      <c r="E379" s="12" t="s">
        <v>1489</v>
      </c>
      <c r="F379" s="19"/>
    </row>
    <row r="380" customFormat="false" ht="15" hidden="false" customHeight="false" outlineLevel="0" collapsed="false">
      <c r="A380" s="18" t="s">
        <v>245</v>
      </c>
      <c r="B380" s="12" t="s">
        <v>230</v>
      </c>
      <c r="C380" s="12" t="s">
        <v>246</v>
      </c>
      <c r="D380" s="12" t="s">
        <v>247</v>
      </c>
      <c r="E380" s="12" t="s">
        <v>1490</v>
      </c>
      <c r="F380" s="19"/>
    </row>
    <row r="381" customFormat="false" ht="15" hidden="false" customHeight="false" outlineLevel="0" collapsed="false">
      <c r="A381" s="18" t="s">
        <v>245</v>
      </c>
      <c r="B381" s="12" t="s">
        <v>230</v>
      </c>
      <c r="C381" s="12" t="s">
        <v>246</v>
      </c>
      <c r="D381" s="12" t="s">
        <v>1491</v>
      </c>
      <c r="E381" s="12" t="s">
        <v>1492</v>
      </c>
      <c r="F381" s="19"/>
    </row>
    <row r="382" customFormat="false" ht="15" hidden="false" customHeight="false" outlineLevel="0" collapsed="false">
      <c r="A382" s="35" t="s">
        <v>245</v>
      </c>
      <c r="B382" s="34" t="s">
        <v>230</v>
      </c>
      <c r="C382" s="34" t="s">
        <v>246</v>
      </c>
      <c r="D382" s="34" t="s">
        <v>909</v>
      </c>
      <c r="E382" s="34" t="s">
        <v>910</v>
      </c>
      <c r="F382" s="36" t="s">
        <v>911</v>
      </c>
    </row>
    <row r="383" customFormat="false" ht="15" hidden="false" customHeight="false" outlineLevel="0" collapsed="false">
      <c r="A383" s="18" t="s">
        <v>248</v>
      </c>
      <c r="B383" s="12" t="s">
        <v>230</v>
      </c>
      <c r="C383" s="12" t="s">
        <v>249</v>
      </c>
      <c r="D383" s="12" t="s">
        <v>1493</v>
      </c>
      <c r="E383" s="12" t="s">
        <v>1494</v>
      </c>
      <c r="F383" s="19"/>
    </row>
    <row r="384" customFormat="false" ht="15" hidden="false" customHeight="false" outlineLevel="0" collapsed="false">
      <c r="A384" s="18" t="s">
        <v>248</v>
      </c>
      <c r="B384" s="12" t="s">
        <v>230</v>
      </c>
      <c r="C384" s="12" t="s">
        <v>249</v>
      </c>
      <c r="D384" s="12" t="s">
        <v>1495</v>
      </c>
      <c r="E384" s="12" t="s">
        <v>1496</v>
      </c>
      <c r="F384" s="19"/>
    </row>
    <row r="385" customFormat="false" ht="15" hidden="false" customHeight="false" outlineLevel="0" collapsed="false">
      <c r="A385" s="18" t="s">
        <v>248</v>
      </c>
      <c r="B385" s="12" t="s">
        <v>230</v>
      </c>
      <c r="C385" s="12" t="s">
        <v>249</v>
      </c>
      <c r="D385" s="12" t="s">
        <v>1284</v>
      </c>
      <c r="E385" s="12" t="s">
        <v>1497</v>
      </c>
      <c r="F385" s="19"/>
    </row>
    <row r="386" customFormat="false" ht="15" hidden="false" customHeight="false" outlineLevel="0" collapsed="false">
      <c r="A386" s="18" t="s">
        <v>248</v>
      </c>
      <c r="B386" s="12" t="s">
        <v>230</v>
      </c>
      <c r="C386" s="12" t="s">
        <v>249</v>
      </c>
      <c r="D386" s="12" t="s">
        <v>1498</v>
      </c>
      <c r="E386" s="12" t="s">
        <v>1499</v>
      </c>
      <c r="F386" s="19"/>
    </row>
    <row r="387" customFormat="false" ht="15" hidden="false" customHeight="false" outlineLevel="0" collapsed="false">
      <c r="A387" s="18" t="s">
        <v>248</v>
      </c>
      <c r="B387" s="12" t="s">
        <v>230</v>
      </c>
      <c r="C387" s="12" t="s">
        <v>249</v>
      </c>
      <c r="D387" s="12" t="s">
        <v>1500</v>
      </c>
      <c r="E387" s="12" t="s">
        <v>1501</v>
      </c>
      <c r="F387" s="19"/>
    </row>
    <row r="388" customFormat="false" ht="15" hidden="false" customHeight="false" outlineLevel="0" collapsed="false">
      <c r="A388" s="18" t="s">
        <v>248</v>
      </c>
      <c r="B388" s="12" t="s">
        <v>230</v>
      </c>
      <c r="C388" s="12" t="s">
        <v>249</v>
      </c>
      <c r="D388" s="12" t="s">
        <v>1502</v>
      </c>
      <c r="E388" s="12" t="s">
        <v>1503</v>
      </c>
      <c r="F388" s="19"/>
    </row>
    <row r="389" customFormat="false" ht="15" hidden="false" customHeight="false" outlineLevel="0" collapsed="false">
      <c r="A389" s="18" t="s">
        <v>248</v>
      </c>
      <c r="B389" s="12" t="s">
        <v>230</v>
      </c>
      <c r="C389" s="12" t="s">
        <v>249</v>
      </c>
      <c r="D389" s="12" t="s">
        <v>1504</v>
      </c>
      <c r="E389" s="12" t="s">
        <v>1505</v>
      </c>
      <c r="F389" s="19"/>
    </row>
    <row r="390" customFormat="false" ht="15" hidden="false" customHeight="false" outlineLevel="0" collapsed="false">
      <c r="A390" s="18" t="s">
        <v>248</v>
      </c>
      <c r="B390" s="12" t="s">
        <v>230</v>
      </c>
      <c r="C390" s="12" t="s">
        <v>249</v>
      </c>
      <c r="D390" s="12" t="s">
        <v>1506</v>
      </c>
      <c r="E390" s="12" t="s">
        <v>1507</v>
      </c>
      <c r="F390" s="19"/>
    </row>
    <row r="391" customFormat="false" ht="15" hidden="false" customHeight="false" outlineLevel="0" collapsed="false">
      <c r="A391" s="35" t="s">
        <v>248</v>
      </c>
      <c r="B391" s="34" t="s">
        <v>230</v>
      </c>
      <c r="C391" s="34" t="s">
        <v>249</v>
      </c>
      <c r="D391" s="34" t="s">
        <v>909</v>
      </c>
      <c r="E391" s="34" t="s">
        <v>910</v>
      </c>
      <c r="F391" s="36" t="s">
        <v>911</v>
      </c>
    </row>
    <row r="392" customFormat="false" ht="15" hidden="false" customHeight="false" outlineLevel="0" collapsed="false">
      <c r="A392" s="18" t="s">
        <v>251</v>
      </c>
      <c r="B392" s="12" t="s">
        <v>230</v>
      </c>
      <c r="C392" s="12" t="s">
        <v>252</v>
      </c>
      <c r="D392" s="12" t="s">
        <v>106</v>
      </c>
      <c r="E392" s="12" t="s">
        <v>1508</v>
      </c>
      <c r="F392" s="19"/>
    </row>
    <row r="393" customFormat="false" ht="15" hidden="false" customHeight="false" outlineLevel="0" collapsed="false">
      <c r="A393" s="18" t="s">
        <v>251</v>
      </c>
      <c r="B393" s="12" t="s">
        <v>230</v>
      </c>
      <c r="C393" s="12" t="s">
        <v>252</v>
      </c>
      <c r="D393" s="12" t="s">
        <v>60</v>
      </c>
      <c r="E393" s="12" t="s">
        <v>1509</v>
      </c>
      <c r="F393" s="19"/>
    </row>
    <row r="394" customFormat="false" ht="15" hidden="false" customHeight="false" outlineLevel="0" collapsed="false">
      <c r="A394" s="18" t="s">
        <v>251</v>
      </c>
      <c r="B394" s="12" t="s">
        <v>230</v>
      </c>
      <c r="C394" s="12" t="s">
        <v>252</v>
      </c>
      <c r="D394" s="12" t="s">
        <v>1510</v>
      </c>
      <c r="E394" s="12" t="s">
        <v>1511</v>
      </c>
      <c r="F394" s="19"/>
    </row>
    <row r="395" customFormat="false" ht="15" hidden="false" customHeight="false" outlineLevel="0" collapsed="false">
      <c r="A395" s="18" t="s">
        <v>251</v>
      </c>
      <c r="B395" s="12" t="s">
        <v>230</v>
      </c>
      <c r="C395" s="12" t="s">
        <v>252</v>
      </c>
      <c r="D395" s="12" t="s">
        <v>923</v>
      </c>
      <c r="E395" s="12" t="s">
        <v>1512</v>
      </c>
      <c r="F395" s="19" t="s">
        <v>1513</v>
      </c>
    </row>
    <row r="396" customFormat="false" ht="15" hidden="false" customHeight="false" outlineLevel="0" collapsed="false">
      <c r="A396" s="35" t="s">
        <v>251</v>
      </c>
      <c r="B396" s="34" t="s">
        <v>230</v>
      </c>
      <c r="C396" s="34" t="s">
        <v>252</v>
      </c>
      <c r="D396" s="34" t="s">
        <v>909</v>
      </c>
      <c r="E396" s="34" t="s">
        <v>910</v>
      </c>
      <c r="F396" s="36" t="s">
        <v>911</v>
      </c>
    </row>
    <row r="397" customFormat="false" ht="15" hidden="false" customHeight="false" outlineLevel="0" collapsed="false">
      <c r="A397" s="18" t="s">
        <v>253</v>
      </c>
      <c r="B397" s="12" t="s">
        <v>254</v>
      </c>
      <c r="C397" s="12" t="s">
        <v>255</v>
      </c>
      <c r="D397" s="12" t="s">
        <v>1514</v>
      </c>
      <c r="E397" s="12" t="s">
        <v>1515</v>
      </c>
      <c r="F397" s="19"/>
    </row>
    <row r="398" customFormat="false" ht="15" hidden="false" customHeight="false" outlineLevel="0" collapsed="false">
      <c r="A398" s="18" t="s">
        <v>253</v>
      </c>
      <c r="B398" s="12" t="s">
        <v>254</v>
      </c>
      <c r="C398" s="12" t="s">
        <v>255</v>
      </c>
      <c r="D398" s="12" t="s">
        <v>1516</v>
      </c>
      <c r="E398" s="12" t="s">
        <v>1517</v>
      </c>
      <c r="F398" s="19"/>
    </row>
    <row r="399" customFormat="false" ht="15" hidden="false" customHeight="false" outlineLevel="0" collapsed="false">
      <c r="A399" s="18" t="s">
        <v>253</v>
      </c>
      <c r="B399" s="12" t="s">
        <v>254</v>
      </c>
      <c r="C399" s="12" t="s">
        <v>255</v>
      </c>
      <c r="D399" s="12" t="s">
        <v>1518</v>
      </c>
      <c r="E399" s="12" t="s">
        <v>1519</v>
      </c>
      <c r="F399" s="19" t="s">
        <v>1520</v>
      </c>
    </row>
    <row r="400" customFormat="false" ht="23.85" hidden="false" customHeight="false" outlineLevel="0" collapsed="false">
      <c r="A400" s="18" t="s">
        <v>253</v>
      </c>
      <c r="B400" s="12" t="s">
        <v>254</v>
      </c>
      <c r="C400" s="12" t="s">
        <v>255</v>
      </c>
      <c r="D400" s="12" t="s">
        <v>1521</v>
      </c>
      <c r="E400" s="12" t="s">
        <v>1522</v>
      </c>
      <c r="F400" s="19"/>
    </row>
    <row r="401" customFormat="false" ht="15" hidden="false" customHeight="false" outlineLevel="0" collapsed="false">
      <c r="A401" s="18" t="s">
        <v>253</v>
      </c>
      <c r="B401" s="12" t="s">
        <v>254</v>
      </c>
      <c r="C401" s="12" t="s">
        <v>255</v>
      </c>
      <c r="D401" s="12" t="s">
        <v>1523</v>
      </c>
      <c r="E401" s="12" t="s">
        <v>1524</v>
      </c>
      <c r="F401" s="19"/>
    </row>
    <row r="402" customFormat="false" ht="15" hidden="false" customHeight="false" outlineLevel="0" collapsed="false">
      <c r="A402" s="18" t="s">
        <v>253</v>
      </c>
      <c r="B402" s="12" t="s">
        <v>254</v>
      </c>
      <c r="C402" s="12" t="s">
        <v>255</v>
      </c>
      <c r="D402" s="12" t="s">
        <v>1280</v>
      </c>
      <c r="E402" s="12" t="s">
        <v>1525</v>
      </c>
      <c r="F402" s="19"/>
    </row>
    <row r="403" customFormat="false" ht="15" hidden="false" customHeight="false" outlineLevel="0" collapsed="false">
      <c r="A403" s="18" t="s">
        <v>253</v>
      </c>
      <c r="B403" s="12" t="s">
        <v>254</v>
      </c>
      <c r="C403" s="12" t="s">
        <v>255</v>
      </c>
      <c r="D403" s="12" t="s">
        <v>1526</v>
      </c>
      <c r="E403" s="12" t="s">
        <v>1527</v>
      </c>
      <c r="F403" s="19"/>
    </row>
    <row r="404" customFormat="false" ht="15" hidden="false" customHeight="false" outlineLevel="0" collapsed="false">
      <c r="A404" s="18" t="s">
        <v>253</v>
      </c>
      <c r="B404" s="12" t="s">
        <v>254</v>
      </c>
      <c r="C404" s="12" t="s">
        <v>255</v>
      </c>
      <c r="D404" s="12" t="s">
        <v>1528</v>
      </c>
      <c r="E404" s="12" t="s">
        <v>1529</v>
      </c>
      <c r="F404" s="19" t="s">
        <v>1530</v>
      </c>
    </row>
    <row r="405" customFormat="false" ht="15" hidden="false" customHeight="false" outlineLevel="0" collapsed="false">
      <c r="A405" s="35" t="s">
        <v>253</v>
      </c>
      <c r="B405" s="34" t="s">
        <v>254</v>
      </c>
      <c r="C405" s="34" t="s">
        <v>255</v>
      </c>
      <c r="D405" s="34" t="s">
        <v>909</v>
      </c>
      <c r="E405" s="34" t="s">
        <v>910</v>
      </c>
      <c r="F405" s="36" t="s">
        <v>911</v>
      </c>
    </row>
    <row r="406" customFormat="false" ht="23.85" hidden="false" customHeight="false" outlineLevel="0" collapsed="false">
      <c r="A406" s="18" t="s">
        <v>257</v>
      </c>
      <c r="B406" s="12" t="s">
        <v>254</v>
      </c>
      <c r="C406" s="12" t="s">
        <v>258</v>
      </c>
      <c r="D406" s="12" t="s">
        <v>106</v>
      </c>
      <c r="E406" s="12" t="s">
        <v>1531</v>
      </c>
      <c r="F406" s="19"/>
    </row>
    <row r="407" customFormat="false" ht="23.85" hidden="false" customHeight="false" outlineLevel="0" collapsed="false">
      <c r="A407" s="18" t="s">
        <v>257</v>
      </c>
      <c r="B407" s="12" t="s">
        <v>254</v>
      </c>
      <c r="C407" s="12" t="s">
        <v>258</v>
      </c>
      <c r="D407" s="12" t="s">
        <v>155</v>
      </c>
      <c r="E407" s="12" t="s">
        <v>1532</v>
      </c>
      <c r="F407" s="19"/>
    </row>
    <row r="408" customFormat="false" ht="23.85" hidden="false" customHeight="false" outlineLevel="0" collapsed="false">
      <c r="A408" s="18" t="s">
        <v>257</v>
      </c>
      <c r="B408" s="12" t="s">
        <v>254</v>
      </c>
      <c r="C408" s="12" t="s">
        <v>258</v>
      </c>
      <c r="D408" s="12" t="s">
        <v>118</v>
      </c>
      <c r="E408" s="12" t="s">
        <v>1533</v>
      </c>
      <c r="F408" s="19"/>
    </row>
    <row r="409" customFormat="false" ht="23.85" hidden="false" customHeight="false" outlineLevel="0" collapsed="false">
      <c r="A409" s="18" t="s">
        <v>257</v>
      </c>
      <c r="B409" s="12" t="s">
        <v>254</v>
      </c>
      <c r="C409" s="12" t="s">
        <v>258</v>
      </c>
      <c r="D409" s="12" t="s">
        <v>1534</v>
      </c>
      <c r="E409" s="12" t="s">
        <v>1535</v>
      </c>
      <c r="F409" s="19"/>
    </row>
    <row r="410" customFormat="false" ht="23.85" hidden="false" customHeight="false" outlineLevel="0" collapsed="false">
      <c r="A410" s="35" t="s">
        <v>257</v>
      </c>
      <c r="B410" s="34" t="s">
        <v>254</v>
      </c>
      <c r="C410" s="34" t="s">
        <v>258</v>
      </c>
      <c r="D410" s="34" t="s">
        <v>909</v>
      </c>
      <c r="E410" s="34" t="s">
        <v>910</v>
      </c>
      <c r="F410" s="36" t="s">
        <v>911</v>
      </c>
    </row>
    <row r="411" customFormat="false" ht="15" hidden="false" customHeight="false" outlineLevel="0" collapsed="false">
      <c r="A411" s="18" t="s">
        <v>259</v>
      </c>
      <c r="B411" s="12" t="s">
        <v>254</v>
      </c>
      <c r="C411" s="12" t="s">
        <v>260</v>
      </c>
      <c r="D411" s="12" t="s">
        <v>75</v>
      </c>
      <c r="E411" s="12" t="s">
        <v>1536</v>
      </c>
      <c r="F411" s="19"/>
    </row>
    <row r="412" customFormat="false" ht="15" hidden="false" customHeight="false" outlineLevel="0" collapsed="false">
      <c r="A412" s="18" t="s">
        <v>259</v>
      </c>
      <c r="B412" s="12" t="s">
        <v>254</v>
      </c>
      <c r="C412" s="12" t="s">
        <v>260</v>
      </c>
      <c r="D412" s="12" t="s">
        <v>1537</v>
      </c>
      <c r="E412" s="12" t="s">
        <v>1538</v>
      </c>
      <c r="F412" s="19"/>
    </row>
    <row r="413" customFormat="false" ht="15" hidden="false" customHeight="false" outlineLevel="0" collapsed="false">
      <c r="A413" s="18" t="s">
        <v>259</v>
      </c>
      <c r="B413" s="12" t="s">
        <v>254</v>
      </c>
      <c r="C413" s="12" t="s">
        <v>260</v>
      </c>
      <c r="D413" s="12" t="s">
        <v>1539</v>
      </c>
      <c r="E413" s="12" t="s">
        <v>1540</v>
      </c>
      <c r="F413" s="19"/>
    </row>
    <row r="414" customFormat="false" ht="15" hidden="false" customHeight="false" outlineLevel="0" collapsed="false">
      <c r="A414" s="18" t="s">
        <v>259</v>
      </c>
      <c r="B414" s="12" t="s">
        <v>254</v>
      </c>
      <c r="C414" s="12" t="s">
        <v>260</v>
      </c>
      <c r="D414" s="12" t="s">
        <v>1541</v>
      </c>
      <c r="E414" s="12" t="s">
        <v>1542</v>
      </c>
      <c r="F414" s="19"/>
    </row>
    <row r="415" customFormat="false" ht="15" hidden="false" customHeight="false" outlineLevel="0" collapsed="false">
      <c r="A415" s="18" t="s">
        <v>259</v>
      </c>
      <c r="B415" s="12" t="s">
        <v>254</v>
      </c>
      <c r="C415" s="12" t="s">
        <v>260</v>
      </c>
      <c r="D415" s="12" t="s">
        <v>176</v>
      </c>
      <c r="E415" s="12" t="s">
        <v>1543</v>
      </c>
      <c r="F415" s="19" t="s">
        <v>1544</v>
      </c>
    </row>
    <row r="416" customFormat="false" ht="15" hidden="false" customHeight="false" outlineLevel="0" collapsed="false">
      <c r="A416" s="35" t="s">
        <v>259</v>
      </c>
      <c r="B416" s="34" t="s">
        <v>254</v>
      </c>
      <c r="C416" s="34" t="s">
        <v>260</v>
      </c>
      <c r="D416" s="34" t="s">
        <v>909</v>
      </c>
      <c r="E416" s="34" t="s">
        <v>910</v>
      </c>
      <c r="F416" s="36" t="s">
        <v>911</v>
      </c>
    </row>
    <row r="417" customFormat="false" ht="15" hidden="false" customHeight="false" outlineLevel="0" collapsed="false">
      <c r="A417" s="18" t="s">
        <v>261</v>
      </c>
      <c r="B417" s="12" t="s">
        <v>254</v>
      </c>
      <c r="C417" s="12" t="s">
        <v>262</v>
      </c>
      <c r="D417" s="12" t="s">
        <v>106</v>
      </c>
      <c r="E417" s="12" t="s">
        <v>1545</v>
      </c>
      <c r="F417" s="19"/>
    </row>
    <row r="418" customFormat="false" ht="15" hidden="false" customHeight="false" outlineLevel="0" collapsed="false">
      <c r="A418" s="18" t="s">
        <v>261</v>
      </c>
      <c r="B418" s="12" t="s">
        <v>254</v>
      </c>
      <c r="C418" s="12" t="s">
        <v>262</v>
      </c>
      <c r="D418" s="12" t="s">
        <v>1546</v>
      </c>
      <c r="E418" s="12" t="s">
        <v>1547</v>
      </c>
      <c r="F418" s="19"/>
    </row>
    <row r="419" customFormat="false" ht="15" hidden="false" customHeight="false" outlineLevel="0" collapsed="false">
      <c r="A419" s="18" t="s">
        <v>261</v>
      </c>
      <c r="B419" s="12" t="s">
        <v>254</v>
      </c>
      <c r="C419" s="12" t="s">
        <v>262</v>
      </c>
      <c r="D419" s="12" t="s">
        <v>956</v>
      </c>
      <c r="E419" s="12" t="s">
        <v>1548</v>
      </c>
      <c r="F419" s="19" t="s">
        <v>1549</v>
      </c>
    </row>
    <row r="420" customFormat="false" ht="15" hidden="false" customHeight="false" outlineLevel="0" collapsed="false">
      <c r="A420" s="18" t="s">
        <v>261</v>
      </c>
      <c r="B420" s="12" t="s">
        <v>254</v>
      </c>
      <c r="C420" s="12" t="s">
        <v>262</v>
      </c>
      <c r="D420" s="12" t="s">
        <v>1550</v>
      </c>
      <c r="E420" s="12" t="s">
        <v>1551</v>
      </c>
      <c r="F420" s="19"/>
    </row>
    <row r="421" customFormat="false" ht="15" hidden="false" customHeight="false" outlineLevel="0" collapsed="false">
      <c r="A421" s="35" t="s">
        <v>261</v>
      </c>
      <c r="B421" s="34" t="s">
        <v>254</v>
      </c>
      <c r="C421" s="34" t="s">
        <v>262</v>
      </c>
      <c r="D421" s="34" t="s">
        <v>909</v>
      </c>
      <c r="E421" s="34" t="s">
        <v>910</v>
      </c>
      <c r="F421" s="36" t="s">
        <v>911</v>
      </c>
    </row>
    <row r="422" customFormat="false" ht="15" hidden="false" customHeight="false" outlineLevel="0" collapsed="false">
      <c r="A422" s="18" t="s">
        <v>263</v>
      </c>
      <c r="B422" s="12" t="s">
        <v>254</v>
      </c>
      <c r="C422" s="12" t="s">
        <v>264</v>
      </c>
      <c r="D422" s="12" t="s">
        <v>1552</v>
      </c>
      <c r="E422" s="12" t="s">
        <v>1553</v>
      </c>
      <c r="F422" s="19"/>
    </row>
    <row r="423" customFormat="false" ht="15" hidden="false" customHeight="false" outlineLevel="0" collapsed="false">
      <c r="A423" s="18" t="s">
        <v>263</v>
      </c>
      <c r="B423" s="12" t="s">
        <v>254</v>
      </c>
      <c r="C423" s="12" t="s">
        <v>264</v>
      </c>
      <c r="D423" s="12" t="s">
        <v>1554</v>
      </c>
      <c r="E423" s="12" t="s">
        <v>1555</v>
      </c>
      <c r="F423" s="19"/>
    </row>
    <row r="424" customFormat="false" ht="15" hidden="false" customHeight="false" outlineLevel="0" collapsed="false">
      <c r="A424" s="18" t="s">
        <v>263</v>
      </c>
      <c r="B424" s="12" t="s">
        <v>254</v>
      </c>
      <c r="C424" s="12" t="s">
        <v>264</v>
      </c>
      <c r="D424" s="12" t="s">
        <v>265</v>
      </c>
      <c r="E424" s="12" t="s">
        <v>1556</v>
      </c>
      <c r="F424" s="19"/>
    </row>
    <row r="425" customFormat="false" ht="15" hidden="false" customHeight="false" outlineLevel="0" collapsed="false">
      <c r="A425" s="18" t="s">
        <v>263</v>
      </c>
      <c r="B425" s="12" t="s">
        <v>254</v>
      </c>
      <c r="C425" s="12" t="s">
        <v>264</v>
      </c>
      <c r="D425" s="12" t="s">
        <v>1557</v>
      </c>
      <c r="E425" s="12" t="s">
        <v>1558</v>
      </c>
      <c r="F425" s="19"/>
    </row>
    <row r="426" customFormat="false" ht="15" hidden="false" customHeight="false" outlineLevel="0" collapsed="false">
      <c r="A426" s="35" t="s">
        <v>263</v>
      </c>
      <c r="B426" s="34" t="s">
        <v>254</v>
      </c>
      <c r="C426" s="34" t="s">
        <v>264</v>
      </c>
      <c r="D426" s="34" t="s">
        <v>909</v>
      </c>
      <c r="E426" s="34" t="s">
        <v>910</v>
      </c>
      <c r="F426" s="36" t="s">
        <v>911</v>
      </c>
    </row>
    <row r="427" customFormat="false" ht="15" hidden="false" customHeight="false" outlineLevel="0" collapsed="false">
      <c r="A427" s="18" t="s">
        <v>266</v>
      </c>
      <c r="B427" s="12" t="s">
        <v>254</v>
      </c>
      <c r="C427" s="12" t="s">
        <v>267</v>
      </c>
      <c r="D427" s="12" t="s">
        <v>1559</v>
      </c>
      <c r="E427" s="12" t="s">
        <v>1560</v>
      </c>
      <c r="F427" s="19"/>
    </row>
    <row r="428" customFormat="false" ht="15" hidden="false" customHeight="false" outlineLevel="0" collapsed="false">
      <c r="A428" s="18" t="s">
        <v>266</v>
      </c>
      <c r="B428" s="12" t="s">
        <v>254</v>
      </c>
      <c r="C428" s="12" t="s">
        <v>267</v>
      </c>
      <c r="D428" s="12" t="s">
        <v>1561</v>
      </c>
      <c r="E428" s="12" t="s">
        <v>1562</v>
      </c>
      <c r="F428" s="19"/>
    </row>
    <row r="429" customFormat="false" ht="15" hidden="false" customHeight="false" outlineLevel="0" collapsed="false">
      <c r="A429" s="18" t="s">
        <v>266</v>
      </c>
      <c r="B429" s="12" t="s">
        <v>254</v>
      </c>
      <c r="C429" s="12" t="s">
        <v>267</v>
      </c>
      <c r="D429" s="12" t="s">
        <v>1563</v>
      </c>
      <c r="E429" s="12" t="s">
        <v>1564</v>
      </c>
      <c r="F429" s="19"/>
    </row>
    <row r="430" customFormat="false" ht="15" hidden="false" customHeight="false" outlineLevel="0" collapsed="false">
      <c r="A430" s="18" t="s">
        <v>266</v>
      </c>
      <c r="B430" s="12" t="s">
        <v>254</v>
      </c>
      <c r="C430" s="12" t="s">
        <v>267</v>
      </c>
      <c r="D430" s="12" t="s">
        <v>118</v>
      </c>
      <c r="E430" s="12" t="s">
        <v>1565</v>
      </c>
      <c r="F430" s="19" t="s">
        <v>1566</v>
      </c>
    </row>
    <row r="431" customFormat="false" ht="15" hidden="false" customHeight="false" outlineLevel="0" collapsed="false">
      <c r="A431" s="18" t="s">
        <v>266</v>
      </c>
      <c r="B431" s="12" t="s">
        <v>254</v>
      </c>
      <c r="C431" s="12" t="s">
        <v>267</v>
      </c>
      <c r="D431" s="12" t="s">
        <v>947</v>
      </c>
      <c r="E431" s="12" t="s">
        <v>1059</v>
      </c>
      <c r="F431" s="19"/>
    </row>
    <row r="432" customFormat="false" ht="15" hidden="false" customHeight="false" outlineLevel="0" collapsed="false">
      <c r="A432" s="35" t="s">
        <v>266</v>
      </c>
      <c r="B432" s="34" t="s">
        <v>254</v>
      </c>
      <c r="C432" s="34" t="s">
        <v>267</v>
      </c>
      <c r="D432" s="34" t="s">
        <v>909</v>
      </c>
      <c r="E432" s="34" t="s">
        <v>910</v>
      </c>
      <c r="F432" s="36" t="s">
        <v>911</v>
      </c>
    </row>
    <row r="433" customFormat="false" ht="15" hidden="false" customHeight="false" outlineLevel="0" collapsed="false">
      <c r="A433" s="18" t="s">
        <v>268</v>
      </c>
      <c r="B433" s="12" t="s">
        <v>269</v>
      </c>
      <c r="C433" s="12" t="s">
        <v>270</v>
      </c>
      <c r="D433" s="12" t="s">
        <v>1567</v>
      </c>
      <c r="E433" s="12" t="s">
        <v>1568</v>
      </c>
      <c r="F433" s="19"/>
    </row>
    <row r="434" customFormat="false" ht="15" hidden="false" customHeight="false" outlineLevel="0" collapsed="false">
      <c r="A434" s="18" t="s">
        <v>268</v>
      </c>
      <c r="B434" s="12" t="s">
        <v>269</v>
      </c>
      <c r="C434" s="12" t="s">
        <v>270</v>
      </c>
      <c r="D434" s="12" t="s">
        <v>1569</v>
      </c>
      <c r="E434" s="12" t="s">
        <v>1570</v>
      </c>
      <c r="F434" s="19"/>
    </row>
    <row r="435" customFormat="false" ht="15" hidden="false" customHeight="false" outlineLevel="0" collapsed="false">
      <c r="A435" s="18" t="s">
        <v>268</v>
      </c>
      <c r="B435" s="12" t="s">
        <v>269</v>
      </c>
      <c r="C435" s="12" t="s">
        <v>270</v>
      </c>
      <c r="D435" s="12" t="s">
        <v>1571</v>
      </c>
      <c r="E435" s="12" t="s">
        <v>1572</v>
      </c>
      <c r="F435" s="19"/>
    </row>
    <row r="436" customFormat="false" ht="15" hidden="false" customHeight="false" outlineLevel="0" collapsed="false">
      <c r="A436" s="18" t="s">
        <v>268</v>
      </c>
      <c r="B436" s="12" t="s">
        <v>269</v>
      </c>
      <c r="C436" s="12" t="s">
        <v>270</v>
      </c>
      <c r="D436" s="12" t="s">
        <v>1573</v>
      </c>
      <c r="E436" s="12" t="s">
        <v>1574</v>
      </c>
      <c r="F436" s="19"/>
    </row>
    <row r="437" customFormat="false" ht="15" hidden="false" customHeight="false" outlineLevel="0" collapsed="false">
      <c r="A437" s="18" t="s">
        <v>268</v>
      </c>
      <c r="B437" s="12" t="s">
        <v>269</v>
      </c>
      <c r="C437" s="12" t="s">
        <v>270</v>
      </c>
      <c r="D437" s="12" t="s">
        <v>1575</v>
      </c>
      <c r="E437" s="12" t="s">
        <v>1576</v>
      </c>
      <c r="F437" s="19"/>
    </row>
    <row r="438" customFormat="false" ht="15" hidden="false" customHeight="false" outlineLevel="0" collapsed="false">
      <c r="A438" s="18" t="s">
        <v>268</v>
      </c>
      <c r="B438" s="12" t="s">
        <v>269</v>
      </c>
      <c r="C438" s="12" t="s">
        <v>270</v>
      </c>
      <c r="D438" s="12" t="s">
        <v>1577</v>
      </c>
      <c r="E438" s="12" t="s">
        <v>1578</v>
      </c>
      <c r="F438" s="19"/>
    </row>
    <row r="439" customFormat="false" ht="15" hidden="false" customHeight="false" outlineLevel="0" collapsed="false">
      <c r="A439" s="18" t="s">
        <v>268</v>
      </c>
      <c r="B439" s="12" t="s">
        <v>269</v>
      </c>
      <c r="C439" s="12" t="s">
        <v>270</v>
      </c>
      <c r="D439" s="12" t="s">
        <v>1579</v>
      </c>
      <c r="E439" s="12" t="s">
        <v>755</v>
      </c>
      <c r="F439" s="19"/>
    </row>
    <row r="440" customFormat="false" ht="15" hidden="false" customHeight="false" outlineLevel="0" collapsed="false">
      <c r="A440" s="18" t="s">
        <v>268</v>
      </c>
      <c r="B440" s="12" t="s">
        <v>269</v>
      </c>
      <c r="C440" s="12" t="s">
        <v>270</v>
      </c>
      <c r="D440" s="12" t="s">
        <v>1580</v>
      </c>
      <c r="E440" s="12" t="s">
        <v>1581</v>
      </c>
      <c r="F440" s="19"/>
    </row>
    <row r="441" customFormat="false" ht="15" hidden="false" customHeight="false" outlineLevel="0" collapsed="false">
      <c r="A441" s="18" t="s">
        <v>268</v>
      </c>
      <c r="B441" s="12" t="s">
        <v>269</v>
      </c>
      <c r="C441" s="12" t="s">
        <v>270</v>
      </c>
      <c r="D441" s="12" t="s">
        <v>1582</v>
      </c>
      <c r="E441" s="12" t="s">
        <v>1583</v>
      </c>
      <c r="F441" s="19"/>
    </row>
    <row r="442" customFormat="false" ht="15" hidden="false" customHeight="false" outlineLevel="0" collapsed="false">
      <c r="A442" s="18" t="s">
        <v>268</v>
      </c>
      <c r="B442" s="12" t="s">
        <v>269</v>
      </c>
      <c r="C442" s="12" t="s">
        <v>270</v>
      </c>
      <c r="D442" s="12" t="s">
        <v>1584</v>
      </c>
      <c r="E442" s="12" t="s">
        <v>1585</v>
      </c>
      <c r="F442" s="19"/>
    </row>
    <row r="443" customFormat="false" ht="23.85" hidden="false" customHeight="false" outlineLevel="0" collapsed="false">
      <c r="A443" s="18" t="s">
        <v>268</v>
      </c>
      <c r="B443" s="12" t="s">
        <v>269</v>
      </c>
      <c r="C443" s="12" t="s">
        <v>270</v>
      </c>
      <c r="D443" s="12" t="s">
        <v>1586</v>
      </c>
      <c r="E443" s="12" t="s">
        <v>1587</v>
      </c>
      <c r="F443" s="19"/>
    </row>
    <row r="444" customFormat="false" ht="15" hidden="false" customHeight="false" outlineLevel="0" collapsed="false">
      <c r="A444" s="18" t="s">
        <v>268</v>
      </c>
      <c r="B444" s="12" t="s">
        <v>269</v>
      </c>
      <c r="C444" s="12" t="s">
        <v>270</v>
      </c>
      <c r="D444" s="12" t="s">
        <v>75</v>
      </c>
      <c r="E444" s="12" t="s">
        <v>1588</v>
      </c>
      <c r="F444" s="19"/>
    </row>
    <row r="445" customFormat="false" ht="15" hidden="false" customHeight="false" outlineLevel="0" collapsed="false">
      <c r="A445" s="35" t="s">
        <v>268</v>
      </c>
      <c r="B445" s="34" t="s">
        <v>269</v>
      </c>
      <c r="C445" s="34" t="s">
        <v>270</v>
      </c>
      <c r="D445" s="34" t="s">
        <v>909</v>
      </c>
      <c r="E445" s="34" t="s">
        <v>910</v>
      </c>
      <c r="F445" s="36" t="s">
        <v>911</v>
      </c>
    </row>
    <row r="446" customFormat="false" ht="23.85" hidden="false" customHeight="false" outlineLevel="0" collapsed="false">
      <c r="A446" s="18" t="s">
        <v>272</v>
      </c>
      <c r="B446" s="12" t="s">
        <v>269</v>
      </c>
      <c r="C446" s="12" t="s">
        <v>273</v>
      </c>
      <c r="D446" s="12" t="s">
        <v>106</v>
      </c>
      <c r="E446" s="12" t="s">
        <v>1589</v>
      </c>
      <c r="F446" s="19"/>
    </row>
    <row r="447" customFormat="false" ht="23.85" hidden="false" customHeight="false" outlineLevel="0" collapsed="false">
      <c r="A447" s="18" t="s">
        <v>272</v>
      </c>
      <c r="B447" s="12" t="s">
        <v>269</v>
      </c>
      <c r="C447" s="12" t="s">
        <v>273</v>
      </c>
      <c r="D447" s="12" t="s">
        <v>1590</v>
      </c>
      <c r="E447" s="12" t="s">
        <v>1591</v>
      </c>
      <c r="F447" s="19"/>
    </row>
    <row r="448" customFormat="false" ht="23.85" hidden="false" customHeight="false" outlineLevel="0" collapsed="false">
      <c r="A448" s="18" t="s">
        <v>272</v>
      </c>
      <c r="B448" s="12" t="s">
        <v>269</v>
      </c>
      <c r="C448" s="12" t="s">
        <v>273</v>
      </c>
      <c r="D448" s="12" t="s">
        <v>274</v>
      </c>
      <c r="E448" s="12" t="s">
        <v>1592</v>
      </c>
      <c r="F448" s="19"/>
    </row>
    <row r="449" customFormat="false" ht="23.85" hidden="false" customHeight="false" outlineLevel="0" collapsed="false">
      <c r="A449" s="18" t="s">
        <v>272</v>
      </c>
      <c r="B449" s="12" t="s">
        <v>269</v>
      </c>
      <c r="C449" s="12" t="s">
        <v>273</v>
      </c>
      <c r="D449" s="12" t="s">
        <v>1593</v>
      </c>
      <c r="E449" s="12" t="s">
        <v>1594</v>
      </c>
      <c r="F449" s="19"/>
    </row>
    <row r="450" customFormat="false" ht="23.85" hidden="false" customHeight="false" outlineLevel="0" collapsed="false">
      <c r="A450" s="35" t="s">
        <v>272</v>
      </c>
      <c r="B450" s="34" t="s">
        <v>269</v>
      </c>
      <c r="C450" s="34" t="s">
        <v>273</v>
      </c>
      <c r="D450" s="34" t="s">
        <v>909</v>
      </c>
      <c r="E450" s="34" t="s">
        <v>910</v>
      </c>
      <c r="F450" s="36" t="s">
        <v>911</v>
      </c>
    </row>
    <row r="451" customFormat="false" ht="15" hidden="false" customHeight="false" outlineLevel="0" collapsed="false">
      <c r="A451" s="18" t="s">
        <v>275</v>
      </c>
      <c r="B451" s="12" t="s">
        <v>269</v>
      </c>
      <c r="C451" s="12" t="s">
        <v>276</v>
      </c>
      <c r="D451" s="12" t="s">
        <v>106</v>
      </c>
      <c r="E451" s="12" t="s">
        <v>1091</v>
      </c>
      <c r="F451" s="19"/>
    </row>
    <row r="452" customFormat="false" ht="15" hidden="false" customHeight="false" outlineLevel="0" collapsed="false">
      <c r="A452" s="18" t="s">
        <v>275</v>
      </c>
      <c r="B452" s="12" t="s">
        <v>269</v>
      </c>
      <c r="C452" s="12" t="s">
        <v>276</v>
      </c>
      <c r="D452" s="12" t="s">
        <v>1430</v>
      </c>
      <c r="E452" s="12" t="s">
        <v>1595</v>
      </c>
      <c r="F452" s="19"/>
    </row>
    <row r="453" customFormat="false" ht="15" hidden="false" customHeight="false" outlineLevel="0" collapsed="false">
      <c r="A453" s="18" t="s">
        <v>275</v>
      </c>
      <c r="B453" s="12" t="s">
        <v>269</v>
      </c>
      <c r="C453" s="12" t="s">
        <v>276</v>
      </c>
      <c r="D453" s="12" t="s">
        <v>277</v>
      </c>
      <c r="E453" s="12" t="s">
        <v>1596</v>
      </c>
      <c r="F453" s="19" t="s">
        <v>1597</v>
      </c>
    </row>
    <row r="454" customFormat="false" ht="15" hidden="false" customHeight="false" outlineLevel="0" collapsed="false">
      <c r="A454" s="18" t="s">
        <v>275</v>
      </c>
      <c r="B454" s="12" t="s">
        <v>269</v>
      </c>
      <c r="C454" s="12" t="s">
        <v>276</v>
      </c>
      <c r="D454" s="12" t="s">
        <v>1432</v>
      </c>
      <c r="E454" s="12" t="s">
        <v>1598</v>
      </c>
      <c r="F454" s="19"/>
    </row>
    <row r="455" customFormat="false" ht="15" hidden="false" customHeight="false" outlineLevel="0" collapsed="false">
      <c r="A455" s="18" t="s">
        <v>275</v>
      </c>
      <c r="B455" s="12" t="s">
        <v>269</v>
      </c>
      <c r="C455" s="12" t="s">
        <v>276</v>
      </c>
      <c r="D455" s="12" t="s">
        <v>982</v>
      </c>
      <c r="E455" s="12" t="s">
        <v>1599</v>
      </c>
      <c r="F455" s="19"/>
    </row>
    <row r="456" customFormat="false" ht="15" hidden="false" customHeight="false" outlineLevel="0" collapsed="false">
      <c r="A456" s="35" t="s">
        <v>275</v>
      </c>
      <c r="B456" s="34" t="s">
        <v>269</v>
      </c>
      <c r="C456" s="34" t="s">
        <v>276</v>
      </c>
      <c r="D456" s="34" t="s">
        <v>909</v>
      </c>
      <c r="E456" s="34" t="s">
        <v>910</v>
      </c>
      <c r="F456" s="36" t="s">
        <v>911</v>
      </c>
    </row>
    <row r="457" customFormat="false" ht="15" hidden="false" customHeight="false" outlineLevel="0" collapsed="false">
      <c r="A457" s="18" t="s">
        <v>278</v>
      </c>
      <c r="B457" s="12" t="s">
        <v>269</v>
      </c>
      <c r="C457" s="12" t="s">
        <v>279</v>
      </c>
      <c r="D457" s="12" t="s">
        <v>106</v>
      </c>
      <c r="E457" s="12" t="s">
        <v>1091</v>
      </c>
      <c r="F457" s="19"/>
    </row>
    <row r="458" customFormat="false" ht="15" hidden="false" customHeight="false" outlineLevel="0" collapsed="false">
      <c r="A458" s="18" t="s">
        <v>278</v>
      </c>
      <c r="B458" s="12" t="s">
        <v>269</v>
      </c>
      <c r="C458" s="12" t="s">
        <v>279</v>
      </c>
      <c r="D458" s="12" t="s">
        <v>280</v>
      </c>
      <c r="E458" s="12" t="s">
        <v>1600</v>
      </c>
      <c r="F458" s="19"/>
    </row>
    <row r="459" customFormat="false" ht="15" hidden="false" customHeight="false" outlineLevel="0" collapsed="false">
      <c r="A459" s="18" t="s">
        <v>278</v>
      </c>
      <c r="B459" s="12" t="s">
        <v>269</v>
      </c>
      <c r="C459" s="12" t="s">
        <v>279</v>
      </c>
      <c r="D459" s="12" t="s">
        <v>1601</v>
      </c>
      <c r="E459" s="12" t="s">
        <v>1602</v>
      </c>
      <c r="F459" s="19"/>
    </row>
    <row r="460" customFormat="false" ht="23.85" hidden="false" customHeight="false" outlineLevel="0" collapsed="false">
      <c r="A460" s="18" t="s">
        <v>278</v>
      </c>
      <c r="B460" s="12" t="s">
        <v>269</v>
      </c>
      <c r="C460" s="12" t="s">
        <v>279</v>
      </c>
      <c r="D460" s="12" t="s">
        <v>1603</v>
      </c>
      <c r="E460" s="12" t="s">
        <v>1604</v>
      </c>
      <c r="F460" s="19"/>
    </row>
    <row r="461" customFormat="false" ht="15" hidden="false" customHeight="false" outlineLevel="0" collapsed="false">
      <c r="A461" s="18" t="s">
        <v>278</v>
      </c>
      <c r="B461" s="12" t="s">
        <v>269</v>
      </c>
      <c r="C461" s="12" t="s">
        <v>279</v>
      </c>
      <c r="D461" s="12" t="s">
        <v>947</v>
      </c>
      <c r="E461" s="12" t="s">
        <v>1059</v>
      </c>
      <c r="F461" s="19"/>
    </row>
    <row r="462" customFormat="false" ht="15" hidden="false" customHeight="false" outlineLevel="0" collapsed="false">
      <c r="A462" s="35" t="s">
        <v>278</v>
      </c>
      <c r="B462" s="34" t="s">
        <v>269</v>
      </c>
      <c r="C462" s="34" t="s">
        <v>279</v>
      </c>
      <c r="D462" s="34" t="s">
        <v>909</v>
      </c>
      <c r="E462" s="34" t="s">
        <v>910</v>
      </c>
      <c r="F462" s="36" t="s">
        <v>911</v>
      </c>
    </row>
    <row r="463" customFormat="false" ht="15" hidden="false" customHeight="false" outlineLevel="0" collapsed="false">
      <c r="A463" s="18" t="s">
        <v>281</v>
      </c>
      <c r="B463" s="12" t="s">
        <v>269</v>
      </c>
      <c r="C463" s="12" t="s">
        <v>282</v>
      </c>
      <c r="D463" s="12" t="s">
        <v>1227</v>
      </c>
      <c r="E463" s="12" t="s">
        <v>1605</v>
      </c>
      <c r="F463" s="19"/>
    </row>
    <row r="464" customFormat="false" ht="15" hidden="false" customHeight="false" outlineLevel="0" collapsed="false">
      <c r="A464" s="18" t="s">
        <v>281</v>
      </c>
      <c r="B464" s="12" t="s">
        <v>269</v>
      </c>
      <c r="C464" s="12" t="s">
        <v>282</v>
      </c>
      <c r="D464" s="12" t="s">
        <v>299</v>
      </c>
      <c r="E464" s="12" t="s">
        <v>1606</v>
      </c>
      <c r="F464" s="19"/>
    </row>
    <row r="465" customFormat="false" ht="15" hidden="false" customHeight="false" outlineLevel="0" collapsed="false">
      <c r="A465" s="18" t="s">
        <v>281</v>
      </c>
      <c r="B465" s="12" t="s">
        <v>269</v>
      </c>
      <c r="C465" s="12" t="s">
        <v>282</v>
      </c>
      <c r="D465" s="12" t="s">
        <v>283</v>
      </c>
      <c r="E465" s="12" t="s">
        <v>1607</v>
      </c>
      <c r="F465" s="19" t="s">
        <v>1608</v>
      </c>
    </row>
    <row r="466" customFormat="false" ht="15" hidden="false" customHeight="false" outlineLevel="0" collapsed="false">
      <c r="A466" s="18" t="s">
        <v>281</v>
      </c>
      <c r="B466" s="12" t="s">
        <v>269</v>
      </c>
      <c r="C466" s="12" t="s">
        <v>282</v>
      </c>
      <c r="D466" s="12" t="s">
        <v>1609</v>
      </c>
      <c r="E466" s="12" t="s">
        <v>1610</v>
      </c>
      <c r="F466" s="19" t="s">
        <v>1611</v>
      </c>
    </row>
    <row r="467" customFormat="false" ht="15" hidden="false" customHeight="false" outlineLevel="0" collapsed="false">
      <c r="A467" s="18" t="s">
        <v>281</v>
      </c>
      <c r="B467" s="12" t="s">
        <v>269</v>
      </c>
      <c r="C467" s="12" t="s">
        <v>282</v>
      </c>
      <c r="D467" s="12" t="s">
        <v>1250</v>
      </c>
      <c r="E467" s="12" t="s">
        <v>1612</v>
      </c>
      <c r="F467" s="19"/>
    </row>
    <row r="468" customFormat="false" ht="15" hidden="false" customHeight="false" outlineLevel="0" collapsed="false">
      <c r="A468" s="18" t="s">
        <v>281</v>
      </c>
      <c r="B468" s="12" t="s">
        <v>269</v>
      </c>
      <c r="C468" s="12" t="s">
        <v>282</v>
      </c>
      <c r="D468" s="12" t="s">
        <v>325</v>
      </c>
      <c r="E468" s="12" t="s">
        <v>1613</v>
      </c>
      <c r="F468" s="19"/>
    </row>
    <row r="469" customFormat="false" ht="15" hidden="false" customHeight="false" outlineLevel="0" collapsed="false">
      <c r="A469" s="35" t="s">
        <v>281</v>
      </c>
      <c r="B469" s="34" t="s">
        <v>269</v>
      </c>
      <c r="C469" s="34" t="s">
        <v>282</v>
      </c>
      <c r="D469" s="34" t="s">
        <v>909</v>
      </c>
      <c r="E469" s="34" t="s">
        <v>910</v>
      </c>
      <c r="F469" s="36" t="s">
        <v>911</v>
      </c>
    </row>
    <row r="470" customFormat="false" ht="15" hidden="false" customHeight="false" outlineLevel="0" collapsed="false">
      <c r="A470" s="18" t="s">
        <v>284</v>
      </c>
      <c r="B470" s="12" t="s">
        <v>269</v>
      </c>
      <c r="C470" s="12" t="s">
        <v>285</v>
      </c>
      <c r="D470" s="12" t="s">
        <v>1546</v>
      </c>
      <c r="E470" s="12" t="s">
        <v>1614</v>
      </c>
      <c r="F470" s="19"/>
    </row>
    <row r="471" customFormat="false" ht="15" hidden="false" customHeight="false" outlineLevel="0" collapsed="false">
      <c r="A471" s="18" t="s">
        <v>284</v>
      </c>
      <c r="B471" s="12" t="s">
        <v>269</v>
      </c>
      <c r="C471" s="12" t="s">
        <v>285</v>
      </c>
      <c r="D471" s="12" t="s">
        <v>1134</v>
      </c>
      <c r="E471" s="12" t="s">
        <v>1615</v>
      </c>
      <c r="F471" s="19"/>
    </row>
    <row r="472" customFormat="false" ht="15" hidden="false" customHeight="false" outlineLevel="0" collapsed="false">
      <c r="A472" s="18" t="s">
        <v>284</v>
      </c>
      <c r="B472" s="12" t="s">
        <v>269</v>
      </c>
      <c r="C472" s="12" t="s">
        <v>285</v>
      </c>
      <c r="D472" s="12" t="s">
        <v>1616</v>
      </c>
      <c r="E472" s="12" t="s">
        <v>1617</v>
      </c>
      <c r="F472" s="19"/>
    </row>
    <row r="473" customFormat="false" ht="15" hidden="false" customHeight="false" outlineLevel="0" collapsed="false">
      <c r="A473" s="18" t="s">
        <v>284</v>
      </c>
      <c r="B473" s="12" t="s">
        <v>269</v>
      </c>
      <c r="C473" s="12" t="s">
        <v>285</v>
      </c>
      <c r="D473" s="12" t="s">
        <v>1618</v>
      </c>
      <c r="E473" s="12" t="s">
        <v>1619</v>
      </c>
      <c r="F473" s="19"/>
    </row>
    <row r="474" customFormat="false" ht="15" hidden="false" customHeight="false" outlineLevel="0" collapsed="false">
      <c r="A474" s="35" t="s">
        <v>284</v>
      </c>
      <c r="B474" s="34" t="s">
        <v>269</v>
      </c>
      <c r="C474" s="34" t="s">
        <v>285</v>
      </c>
      <c r="D474" s="34" t="s">
        <v>909</v>
      </c>
      <c r="E474" s="34" t="s">
        <v>910</v>
      </c>
      <c r="F474" s="36" t="s">
        <v>911</v>
      </c>
    </row>
    <row r="475" customFormat="false" ht="15" hidden="false" customHeight="false" outlineLevel="0" collapsed="false">
      <c r="A475" s="18" t="s">
        <v>287</v>
      </c>
      <c r="B475" s="12" t="s">
        <v>269</v>
      </c>
      <c r="C475" s="12" t="s">
        <v>288</v>
      </c>
      <c r="D475" s="12" t="s">
        <v>60</v>
      </c>
      <c r="E475" s="12" t="s">
        <v>1620</v>
      </c>
      <c r="F475" s="19"/>
    </row>
    <row r="476" customFormat="false" ht="15" hidden="false" customHeight="false" outlineLevel="0" collapsed="false">
      <c r="A476" s="18" t="s">
        <v>287</v>
      </c>
      <c r="B476" s="12" t="s">
        <v>269</v>
      </c>
      <c r="C476" s="12" t="s">
        <v>288</v>
      </c>
      <c r="D476" s="12" t="s">
        <v>289</v>
      </c>
      <c r="E476" s="12" t="s">
        <v>1621</v>
      </c>
      <c r="F476" s="19"/>
    </row>
    <row r="477" customFormat="false" ht="15" hidden="false" customHeight="false" outlineLevel="0" collapsed="false">
      <c r="A477" s="18" t="s">
        <v>287</v>
      </c>
      <c r="B477" s="12" t="s">
        <v>269</v>
      </c>
      <c r="C477" s="12" t="s">
        <v>288</v>
      </c>
      <c r="D477" s="12" t="s">
        <v>106</v>
      </c>
      <c r="E477" s="12" t="s">
        <v>1091</v>
      </c>
      <c r="F477" s="19"/>
    </row>
    <row r="478" customFormat="false" ht="15" hidden="false" customHeight="false" outlineLevel="0" collapsed="false">
      <c r="A478" s="35" t="s">
        <v>287</v>
      </c>
      <c r="B478" s="34" t="s">
        <v>269</v>
      </c>
      <c r="C478" s="34" t="s">
        <v>288</v>
      </c>
      <c r="D478" s="34" t="s">
        <v>909</v>
      </c>
      <c r="E478" s="34" t="s">
        <v>910</v>
      </c>
      <c r="F478" s="36" t="s">
        <v>911</v>
      </c>
    </row>
    <row r="479" customFormat="false" ht="15" hidden="false" customHeight="false" outlineLevel="0" collapsed="false">
      <c r="A479" s="18" t="s">
        <v>290</v>
      </c>
      <c r="B479" s="12" t="s">
        <v>269</v>
      </c>
      <c r="C479" s="12" t="s">
        <v>291</v>
      </c>
      <c r="D479" s="12" t="s">
        <v>106</v>
      </c>
      <c r="E479" s="12" t="s">
        <v>1091</v>
      </c>
      <c r="F479" s="19"/>
    </row>
    <row r="480" customFormat="false" ht="15" hidden="false" customHeight="false" outlineLevel="0" collapsed="false">
      <c r="A480" s="18" t="s">
        <v>290</v>
      </c>
      <c r="B480" s="12" t="s">
        <v>269</v>
      </c>
      <c r="C480" s="12" t="s">
        <v>291</v>
      </c>
      <c r="D480" s="12" t="s">
        <v>292</v>
      </c>
      <c r="E480" s="12" t="s">
        <v>1622</v>
      </c>
      <c r="F480" s="19"/>
    </row>
    <row r="481" customFormat="false" ht="15" hidden="false" customHeight="false" outlineLevel="0" collapsed="false">
      <c r="A481" s="18" t="s">
        <v>290</v>
      </c>
      <c r="B481" s="12" t="s">
        <v>269</v>
      </c>
      <c r="C481" s="12" t="s">
        <v>291</v>
      </c>
      <c r="D481" s="12" t="s">
        <v>195</v>
      </c>
      <c r="E481" s="12" t="s">
        <v>1623</v>
      </c>
      <c r="F481" s="19"/>
    </row>
    <row r="482" customFormat="false" ht="15" hidden="false" customHeight="false" outlineLevel="0" collapsed="false">
      <c r="A482" s="18" t="s">
        <v>290</v>
      </c>
      <c r="B482" s="12" t="s">
        <v>269</v>
      </c>
      <c r="C482" s="12" t="s">
        <v>291</v>
      </c>
      <c r="D482" s="12" t="s">
        <v>1624</v>
      </c>
      <c r="E482" s="12" t="s">
        <v>1625</v>
      </c>
      <c r="F482" s="19" t="s">
        <v>1626</v>
      </c>
    </row>
    <row r="483" customFormat="false" ht="15" hidden="false" customHeight="false" outlineLevel="0" collapsed="false">
      <c r="A483" s="35" t="s">
        <v>290</v>
      </c>
      <c r="B483" s="34" t="s">
        <v>269</v>
      </c>
      <c r="C483" s="34" t="s">
        <v>291</v>
      </c>
      <c r="D483" s="34" t="s">
        <v>909</v>
      </c>
      <c r="E483" s="34" t="s">
        <v>910</v>
      </c>
      <c r="F483" s="36" t="s">
        <v>911</v>
      </c>
    </row>
    <row r="484" customFormat="false" ht="15" hidden="false" customHeight="false" outlineLevel="0" collapsed="false">
      <c r="A484" s="18" t="s">
        <v>293</v>
      </c>
      <c r="B484" s="12" t="s">
        <v>294</v>
      </c>
      <c r="C484" s="12" t="s">
        <v>295</v>
      </c>
      <c r="D484" s="12" t="s">
        <v>1627</v>
      </c>
      <c r="E484" s="12" t="s">
        <v>1628</v>
      </c>
      <c r="F484" s="19"/>
    </row>
    <row r="485" customFormat="false" ht="15" hidden="false" customHeight="false" outlineLevel="0" collapsed="false">
      <c r="A485" s="18" t="s">
        <v>293</v>
      </c>
      <c r="B485" s="12" t="s">
        <v>294</v>
      </c>
      <c r="C485" s="12" t="s">
        <v>295</v>
      </c>
      <c r="D485" s="12" t="s">
        <v>1495</v>
      </c>
      <c r="E485" s="12" t="s">
        <v>1629</v>
      </c>
      <c r="F485" s="19" t="s">
        <v>1630</v>
      </c>
    </row>
    <row r="486" customFormat="false" ht="15" hidden="false" customHeight="false" outlineLevel="0" collapsed="false">
      <c r="A486" s="18" t="s">
        <v>293</v>
      </c>
      <c r="B486" s="12" t="s">
        <v>294</v>
      </c>
      <c r="C486" s="12" t="s">
        <v>295</v>
      </c>
      <c r="D486" s="12" t="s">
        <v>1631</v>
      </c>
      <c r="E486" s="12" t="s">
        <v>1632</v>
      </c>
      <c r="F486" s="19"/>
    </row>
    <row r="487" customFormat="false" ht="15" hidden="false" customHeight="false" outlineLevel="0" collapsed="false">
      <c r="A487" s="18" t="s">
        <v>293</v>
      </c>
      <c r="B487" s="12" t="s">
        <v>294</v>
      </c>
      <c r="C487" s="12" t="s">
        <v>295</v>
      </c>
      <c r="D487" s="12" t="s">
        <v>1250</v>
      </c>
      <c r="E487" s="12" t="s">
        <v>1633</v>
      </c>
      <c r="F487" s="19"/>
    </row>
    <row r="488" customFormat="false" ht="15" hidden="false" customHeight="false" outlineLevel="0" collapsed="false">
      <c r="A488" s="18" t="s">
        <v>293</v>
      </c>
      <c r="B488" s="12" t="s">
        <v>294</v>
      </c>
      <c r="C488" s="12" t="s">
        <v>295</v>
      </c>
      <c r="D488" s="12" t="s">
        <v>1222</v>
      </c>
      <c r="E488" s="12" t="s">
        <v>1634</v>
      </c>
      <c r="F488" s="19"/>
    </row>
    <row r="489" customFormat="false" ht="15" hidden="false" customHeight="false" outlineLevel="0" collapsed="false">
      <c r="A489" s="18" t="s">
        <v>293</v>
      </c>
      <c r="B489" s="12" t="s">
        <v>294</v>
      </c>
      <c r="C489" s="12" t="s">
        <v>295</v>
      </c>
      <c r="D489" s="12" t="s">
        <v>950</v>
      </c>
      <c r="E489" s="12" t="s">
        <v>1635</v>
      </c>
      <c r="F489" s="19"/>
    </row>
    <row r="490" customFormat="false" ht="15" hidden="false" customHeight="false" outlineLevel="0" collapsed="false">
      <c r="A490" s="18" t="s">
        <v>293</v>
      </c>
      <c r="B490" s="12" t="s">
        <v>294</v>
      </c>
      <c r="C490" s="12" t="s">
        <v>295</v>
      </c>
      <c r="D490" s="12" t="s">
        <v>1277</v>
      </c>
      <c r="E490" s="12" t="s">
        <v>1636</v>
      </c>
      <c r="F490" s="19"/>
    </row>
    <row r="491" customFormat="false" ht="15" hidden="false" customHeight="false" outlineLevel="0" collapsed="false">
      <c r="A491" s="18" t="s">
        <v>293</v>
      </c>
      <c r="B491" s="12" t="s">
        <v>294</v>
      </c>
      <c r="C491" s="12" t="s">
        <v>295</v>
      </c>
      <c r="D491" s="12" t="s">
        <v>1256</v>
      </c>
      <c r="E491" s="12" t="s">
        <v>1637</v>
      </c>
      <c r="F491" s="19"/>
    </row>
    <row r="492" customFormat="false" ht="15" hidden="false" customHeight="false" outlineLevel="0" collapsed="false">
      <c r="A492" s="18" t="s">
        <v>293</v>
      </c>
      <c r="B492" s="12" t="s">
        <v>294</v>
      </c>
      <c r="C492" s="12" t="s">
        <v>295</v>
      </c>
      <c r="D492" s="12" t="s">
        <v>1280</v>
      </c>
      <c r="E492" s="12" t="s">
        <v>1638</v>
      </c>
      <c r="F492" s="19"/>
    </row>
    <row r="493" customFormat="false" ht="15" hidden="false" customHeight="false" outlineLevel="0" collapsed="false">
      <c r="A493" s="35" t="s">
        <v>293</v>
      </c>
      <c r="B493" s="34" t="s">
        <v>294</v>
      </c>
      <c r="C493" s="34" t="s">
        <v>295</v>
      </c>
      <c r="D493" s="34" t="s">
        <v>909</v>
      </c>
      <c r="E493" s="34" t="s">
        <v>910</v>
      </c>
      <c r="F493" s="36" t="s">
        <v>911</v>
      </c>
    </row>
    <row r="494" customFormat="false" ht="23.85" hidden="false" customHeight="false" outlineLevel="0" collapsed="false">
      <c r="A494" s="18" t="s">
        <v>297</v>
      </c>
      <c r="B494" s="12" t="s">
        <v>294</v>
      </c>
      <c r="C494" s="12" t="s">
        <v>298</v>
      </c>
      <c r="D494" s="12" t="s">
        <v>1639</v>
      </c>
      <c r="E494" s="12" t="s">
        <v>1640</v>
      </c>
      <c r="F494" s="19"/>
    </row>
    <row r="495" customFormat="false" ht="23.85" hidden="false" customHeight="false" outlineLevel="0" collapsed="false">
      <c r="A495" s="18" t="s">
        <v>297</v>
      </c>
      <c r="B495" s="12" t="s">
        <v>294</v>
      </c>
      <c r="C495" s="12" t="s">
        <v>298</v>
      </c>
      <c r="D495" s="12" t="s">
        <v>299</v>
      </c>
      <c r="E495" s="12" t="s">
        <v>1641</v>
      </c>
      <c r="F495" s="19" t="s">
        <v>1642</v>
      </c>
    </row>
    <row r="496" customFormat="false" ht="23.85" hidden="false" customHeight="false" outlineLevel="0" collapsed="false">
      <c r="A496" s="18" t="s">
        <v>297</v>
      </c>
      <c r="B496" s="12" t="s">
        <v>294</v>
      </c>
      <c r="C496" s="12" t="s">
        <v>298</v>
      </c>
      <c r="D496" s="12" t="s">
        <v>283</v>
      </c>
      <c r="E496" s="12" t="s">
        <v>1643</v>
      </c>
      <c r="F496" s="19" t="s">
        <v>1644</v>
      </c>
    </row>
    <row r="497" customFormat="false" ht="23.85" hidden="false" customHeight="false" outlineLevel="0" collapsed="false">
      <c r="A497" s="18" t="s">
        <v>297</v>
      </c>
      <c r="B497" s="12" t="s">
        <v>294</v>
      </c>
      <c r="C497" s="12" t="s">
        <v>298</v>
      </c>
      <c r="D497" s="12" t="s">
        <v>1645</v>
      </c>
      <c r="E497" s="12" t="s">
        <v>1646</v>
      </c>
      <c r="F497" s="19"/>
    </row>
    <row r="498" customFormat="false" ht="23.85" hidden="false" customHeight="false" outlineLevel="0" collapsed="false">
      <c r="A498" s="18" t="s">
        <v>297</v>
      </c>
      <c r="B498" s="12" t="s">
        <v>294</v>
      </c>
      <c r="C498" s="12" t="s">
        <v>298</v>
      </c>
      <c r="D498" s="12" t="s">
        <v>1250</v>
      </c>
      <c r="E498" s="12" t="s">
        <v>1647</v>
      </c>
      <c r="F498" s="19"/>
    </row>
    <row r="499" customFormat="false" ht="23.85" hidden="false" customHeight="false" outlineLevel="0" collapsed="false">
      <c r="A499" s="35" t="s">
        <v>297</v>
      </c>
      <c r="B499" s="34" t="s">
        <v>294</v>
      </c>
      <c r="C499" s="34" t="s">
        <v>298</v>
      </c>
      <c r="D499" s="34" t="s">
        <v>909</v>
      </c>
      <c r="E499" s="34" t="s">
        <v>910</v>
      </c>
      <c r="F499" s="36" t="s">
        <v>911</v>
      </c>
    </row>
    <row r="500" customFormat="false" ht="15" hidden="false" customHeight="false" outlineLevel="0" collapsed="false">
      <c r="A500" s="18" t="s">
        <v>300</v>
      </c>
      <c r="B500" s="12" t="s">
        <v>294</v>
      </c>
      <c r="C500" s="12" t="s">
        <v>301</v>
      </c>
      <c r="D500" s="12" t="s">
        <v>106</v>
      </c>
      <c r="E500" s="12" t="s">
        <v>1648</v>
      </c>
      <c r="F500" s="19"/>
    </row>
    <row r="501" customFormat="false" ht="15" hidden="false" customHeight="false" outlineLevel="0" collapsed="false">
      <c r="A501" s="18" t="s">
        <v>300</v>
      </c>
      <c r="B501" s="12" t="s">
        <v>294</v>
      </c>
      <c r="C501" s="12" t="s">
        <v>301</v>
      </c>
      <c r="D501" s="12" t="s">
        <v>1649</v>
      </c>
      <c r="E501" s="12" t="s">
        <v>1650</v>
      </c>
      <c r="F501" s="19"/>
    </row>
    <row r="502" customFormat="false" ht="15" hidden="false" customHeight="false" outlineLevel="0" collapsed="false">
      <c r="A502" s="18" t="s">
        <v>300</v>
      </c>
      <c r="B502" s="12" t="s">
        <v>294</v>
      </c>
      <c r="C502" s="12" t="s">
        <v>301</v>
      </c>
      <c r="D502" s="12" t="s">
        <v>302</v>
      </c>
      <c r="E502" s="12" t="s">
        <v>1651</v>
      </c>
      <c r="F502" s="19"/>
    </row>
    <row r="503" customFormat="false" ht="15" hidden="false" customHeight="false" outlineLevel="0" collapsed="false">
      <c r="A503" s="18" t="s">
        <v>300</v>
      </c>
      <c r="B503" s="12" t="s">
        <v>294</v>
      </c>
      <c r="C503" s="12" t="s">
        <v>301</v>
      </c>
      <c r="D503" s="12" t="s">
        <v>982</v>
      </c>
      <c r="E503" s="12" t="s">
        <v>1652</v>
      </c>
      <c r="F503" s="19"/>
    </row>
    <row r="504" customFormat="false" ht="15" hidden="false" customHeight="false" outlineLevel="0" collapsed="false">
      <c r="A504" s="35" t="s">
        <v>300</v>
      </c>
      <c r="B504" s="34" t="s">
        <v>294</v>
      </c>
      <c r="C504" s="34" t="s">
        <v>301</v>
      </c>
      <c r="D504" s="34" t="s">
        <v>909</v>
      </c>
      <c r="E504" s="34" t="s">
        <v>910</v>
      </c>
      <c r="F504" s="36" t="s">
        <v>911</v>
      </c>
    </row>
    <row r="505" customFormat="false" ht="23.85" hidden="false" customHeight="false" outlineLevel="0" collapsed="false">
      <c r="A505" s="18" t="s">
        <v>303</v>
      </c>
      <c r="B505" s="12" t="s">
        <v>294</v>
      </c>
      <c r="C505" s="12" t="s">
        <v>304</v>
      </c>
      <c r="D505" s="12" t="s">
        <v>106</v>
      </c>
      <c r="E505" s="12" t="s">
        <v>1091</v>
      </c>
      <c r="F505" s="19"/>
    </row>
    <row r="506" customFormat="false" ht="23.85" hidden="false" customHeight="false" outlineLevel="0" collapsed="false">
      <c r="A506" s="18" t="s">
        <v>303</v>
      </c>
      <c r="B506" s="12" t="s">
        <v>294</v>
      </c>
      <c r="C506" s="12" t="s">
        <v>304</v>
      </c>
      <c r="D506" s="12" t="s">
        <v>1653</v>
      </c>
      <c r="E506" s="12" t="s">
        <v>1654</v>
      </c>
      <c r="F506" s="19"/>
    </row>
    <row r="507" customFormat="false" ht="23.85" hidden="false" customHeight="false" outlineLevel="0" collapsed="false">
      <c r="A507" s="18" t="s">
        <v>303</v>
      </c>
      <c r="B507" s="12" t="s">
        <v>294</v>
      </c>
      <c r="C507" s="12" t="s">
        <v>304</v>
      </c>
      <c r="D507" s="12" t="s">
        <v>305</v>
      </c>
      <c r="E507" s="12" t="s">
        <v>1655</v>
      </c>
      <c r="F507" s="19"/>
    </row>
    <row r="508" customFormat="false" ht="23.85" hidden="false" customHeight="false" outlineLevel="0" collapsed="false">
      <c r="A508" s="18" t="s">
        <v>303</v>
      </c>
      <c r="B508" s="12" t="s">
        <v>294</v>
      </c>
      <c r="C508" s="12" t="s">
        <v>304</v>
      </c>
      <c r="D508" s="12" t="s">
        <v>280</v>
      </c>
      <c r="E508" s="12" t="s">
        <v>1656</v>
      </c>
      <c r="F508" s="19"/>
    </row>
    <row r="509" customFormat="false" ht="23.85" hidden="false" customHeight="false" outlineLevel="0" collapsed="false">
      <c r="A509" s="35" t="s">
        <v>303</v>
      </c>
      <c r="B509" s="34" t="s">
        <v>294</v>
      </c>
      <c r="C509" s="34" t="s">
        <v>304</v>
      </c>
      <c r="D509" s="34" t="s">
        <v>909</v>
      </c>
      <c r="E509" s="34" t="s">
        <v>910</v>
      </c>
      <c r="F509" s="36" t="s">
        <v>911</v>
      </c>
    </row>
    <row r="510" customFormat="false" ht="15" hidden="false" customHeight="false" outlineLevel="0" collapsed="false">
      <c r="A510" s="18" t="s">
        <v>306</v>
      </c>
      <c r="B510" s="12" t="s">
        <v>307</v>
      </c>
      <c r="C510" s="12" t="s">
        <v>308</v>
      </c>
      <c r="D510" s="12" t="s">
        <v>1657</v>
      </c>
      <c r="E510" s="12" t="s">
        <v>1658</v>
      </c>
      <c r="F510" s="19"/>
    </row>
    <row r="511" customFormat="false" ht="15" hidden="false" customHeight="false" outlineLevel="0" collapsed="false">
      <c r="A511" s="18" t="s">
        <v>306</v>
      </c>
      <c r="B511" s="12" t="s">
        <v>307</v>
      </c>
      <c r="C511" s="12" t="s">
        <v>308</v>
      </c>
      <c r="D511" s="12" t="s">
        <v>79</v>
      </c>
      <c r="E511" s="12" t="s">
        <v>1659</v>
      </c>
      <c r="F511" s="19"/>
    </row>
    <row r="512" customFormat="false" ht="15" hidden="false" customHeight="false" outlineLevel="0" collapsed="false">
      <c r="A512" s="18" t="s">
        <v>306</v>
      </c>
      <c r="B512" s="12" t="s">
        <v>307</v>
      </c>
      <c r="C512" s="12" t="s">
        <v>308</v>
      </c>
      <c r="D512" s="12" t="s">
        <v>1660</v>
      </c>
      <c r="E512" s="12" t="s">
        <v>1661</v>
      </c>
      <c r="F512" s="19"/>
    </row>
    <row r="513" customFormat="false" ht="15" hidden="false" customHeight="false" outlineLevel="0" collapsed="false">
      <c r="A513" s="18" t="s">
        <v>306</v>
      </c>
      <c r="B513" s="12" t="s">
        <v>307</v>
      </c>
      <c r="C513" s="12" t="s">
        <v>308</v>
      </c>
      <c r="D513" s="12" t="s">
        <v>1662</v>
      </c>
      <c r="E513" s="12" t="s">
        <v>1663</v>
      </c>
      <c r="F513" s="19"/>
    </row>
    <row r="514" customFormat="false" ht="15" hidden="false" customHeight="false" outlineLevel="0" collapsed="false">
      <c r="A514" s="35" t="s">
        <v>306</v>
      </c>
      <c r="B514" s="34" t="s">
        <v>307</v>
      </c>
      <c r="C514" s="34" t="s">
        <v>308</v>
      </c>
      <c r="D514" s="34" t="s">
        <v>909</v>
      </c>
      <c r="E514" s="34" t="s">
        <v>910</v>
      </c>
      <c r="F514" s="36" t="s">
        <v>911</v>
      </c>
    </row>
    <row r="515" customFormat="false" ht="15" hidden="false" customHeight="false" outlineLevel="0" collapsed="false">
      <c r="A515" s="18" t="s">
        <v>309</v>
      </c>
      <c r="B515" s="12" t="s">
        <v>307</v>
      </c>
      <c r="C515" s="12" t="s">
        <v>310</v>
      </c>
      <c r="D515" s="12" t="s">
        <v>311</v>
      </c>
      <c r="E515" s="12" t="s">
        <v>1664</v>
      </c>
      <c r="F515" s="19"/>
    </row>
    <row r="516" customFormat="false" ht="15" hidden="false" customHeight="false" outlineLevel="0" collapsed="false">
      <c r="A516" s="18" t="s">
        <v>309</v>
      </c>
      <c r="B516" s="12" t="s">
        <v>307</v>
      </c>
      <c r="C516" s="12" t="s">
        <v>310</v>
      </c>
      <c r="D516" s="12" t="s">
        <v>1665</v>
      </c>
      <c r="E516" s="12" t="s">
        <v>1666</v>
      </c>
      <c r="F516" s="19"/>
    </row>
    <row r="517" customFormat="false" ht="15" hidden="false" customHeight="false" outlineLevel="0" collapsed="false">
      <c r="A517" s="18" t="s">
        <v>309</v>
      </c>
      <c r="B517" s="12" t="s">
        <v>307</v>
      </c>
      <c r="C517" s="12" t="s">
        <v>310</v>
      </c>
      <c r="D517" s="12" t="s">
        <v>1667</v>
      </c>
      <c r="E517" s="12" t="s">
        <v>1668</v>
      </c>
      <c r="F517" s="19"/>
    </row>
    <row r="518" customFormat="false" ht="15" hidden="false" customHeight="false" outlineLevel="0" collapsed="false">
      <c r="A518" s="18" t="s">
        <v>309</v>
      </c>
      <c r="B518" s="12" t="s">
        <v>307</v>
      </c>
      <c r="C518" s="12" t="s">
        <v>310</v>
      </c>
      <c r="D518" s="12" t="s">
        <v>1669</v>
      </c>
      <c r="E518" s="12" t="s">
        <v>1670</v>
      </c>
      <c r="F518" s="19"/>
    </row>
    <row r="519" customFormat="false" ht="15" hidden="false" customHeight="false" outlineLevel="0" collapsed="false">
      <c r="A519" s="18" t="s">
        <v>309</v>
      </c>
      <c r="B519" s="12" t="s">
        <v>307</v>
      </c>
      <c r="C519" s="12" t="s">
        <v>310</v>
      </c>
      <c r="D519" s="12" t="s">
        <v>1671</v>
      </c>
      <c r="E519" s="12" t="s">
        <v>1672</v>
      </c>
      <c r="F519" s="19" t="s">
        <v>1673</v>
      </c>
    </row>
    <row r="520" customFormat="false" ht="15" hidden="false" customHeight="false" outlineLevel="0" collapsed="false">
      <c r="A520" s="18" t="s">
        <v>309</v>
      </c>
      <c r="B520" s="12" t="s">
        <v>307</v>
      </c>
      <c r="C520" s="12" t="s">
        <v>310</v>
      </c>
      <c r="D520" s="12" t="s">
        <v>944</v>
      </c>
      <c r="E520" s="12" t="s">
        <v>1674</v>
      </c>
      <c r="F520" s="19"/>
    </row>
    <row r="521" customFormat="false" ht="15" hidden="false" customHeight="false" outlineLevel="0" collapsed="false">
      <c r="A521" s="35" t="s">
        <v>309</v>
      </c>
      <c r="B521" s="34" t="s">
        <v>307</v>
      </c>
      <c r="C521" s="34" t="s">
        <v>310</v>
      </c>
      <c r="D521" s="34" t="s">
        <v>909</v>
      </c>
      <c r="E521" s="34" t="s">
        <v>910</v>
      </c>
      <c r="F521" s="36" t="s">
        <v>911</v>
      </c>
    </row>
    <row r="522" customFormat="false" ht="15" hidden="false" customHeight="false" outlineLevel="0" collapsed="false">
      <c r="A522" s="18" t="s">
        <v>312</v>
      </c>
      <c r="B522" s="12" t="s">
        <v>307</v>
      </c>
      <c r="C522" s="12" t="s">
        <v>313</v>
      </c>
      <c r="D522" s="12" t="s">
        <v>314</v>
      </c>
      <c r="E522" s="12" t="s">
        <v>1675</v>
      </c>
      <c r="F522" s="19"/>
    </row>
    <row r="523" customFormat="false" ht="15" hidden="false" customHeight="false" outlineLevel="0" collapsed="false">
      <c r="A523" s="18" t="s">
        <v>312</v>
      </c>
      <c r="B523" s="12" t="s">
        <v>307</v>
      </c>
      <c r="C523" s="12" t="s">
        <v>313</v>
      </c>
      <c r="D523" s="12" t="s">
        <v>1676</v>
      </c>
      <c r="E523" s="12" t="s">
        <v>1677</v>
      </c>
      <c r="F523" s="19"/>
    </row>
    <row r="524" customFormat="false" ht="15" hidden="false" customHeight="false" outlineLevel="0" collapsed="false">
      <c r="A524" s="18" t="s">
        <v>312</v>
      </c>
      <c r="B524" s="12" t="s">
        <v>307</v>
      </c>
      <c r="C524" s="12" t="s">
        <v>313</v>
      </c>
      <c r="D524" s="12" t="s">
        <v>1678</v>
      </c>
      <c r="E524" s="12" t="s">
        <v>1679</v>
      </c>
      <c r="F524" s="19"/>
    </row>
    <row r="525" customFormat="false" ht="15" hidden="false" customHeight="false" outlineLevel="0" collapsed="false">
      <c r="A525" s="35" t="s">
        <v>312</v>
      </c>
      <c r="B525" s="34" t="s">
        <v>307</v>
      </c>
      <c r="C525" s="34" t="s">
        <v>313</v>
      </c>
      <c r="D525" s="34" t="s">
        <v>909</v>
      </c>
      <c r="E525" s="34" t="s">
        <v>1680</v>
      </c>
      <c r="F525" s="36"/>
    </row>
    <row r="526" customFormat="false" ht="15" hidden="false" customHeight="false" outlineLevel="0" collapsed="false">
      <c r="A526" s="18" t="s">
        <v>312</v>
      </c>
      <c r="B526" s="12" t="s">
        <v>307</v>
      </c>
      <c r="C526" s="12" t="s">
        <v>313</v>
      </c>
      <c r="D526" s="12" t="s">
        <v>211</v>
      </c>
      <c r="E526" s="12" t="s">
        <v>1681</v>
      </c>
      <c r="F526" s="19"/>
    </row>
    <row r="527" customFormat="false" ht="15" hidden="false" customHeight="false" outlineLevel="0" collapsed="false">
      <c r="A527" s="18" t="s">
        <v>312</v>
      </c>
      <c r="B527" s="12" t="s">
        <v>307</v>
      </c>
      <c r="C527" s="12" t="s">
        <v>313</v>
      </c>
      <c r="D527" s="12" t="s">
        <v>1682</v>
      </c>
      <c r="E527" s="12" t="s">
        <v>1683</v>
      </c>
      <c r="F527" s="19"/>
    </row>
    <row r="528" customFormat="false" ht="15" hidden="false" customHeight="false" outlineLevel="0" collapsed="false">
      <c r="A528" s="35" t="s">
        <v>312</v>
      </c>
      <c r="B528" s="34" t="s">
        <v>307</v>
      </c>
      <c r="C528" s="34" t="s">
        <v>313</v>
      </c>
      <c r="D528" s="34" t="s">
        <v>909</v>
      </c>
      <c r="E528" s="34" t="s">
        <v>910</v>
      </c>
      <c r="F528" s="36" t="s">
        <v>911</v>
      </c>
    </row>
    <row r="529" customFormat="false" ht="15" hidden="false" customHeight="false" outlineLevel="0" collapsed="false">
      <c r="A529" s="18" t="s">
        <v>315</v>
      </c>
      <c r="B529" s="12" t="s">
        <v>307</v>
      </c>
      <c r="C529" s="12" t="s">
        <v>316</v>
      </c>
      <c r="D529" s="12" t="s">
        <v>1684</v>
      </c>
      <c r="E529" s="12" t="s">
        <v>1685</v>
      </c>
      <c r="F529" s="19"/>
    </row>
    <row r="530" customFormat="false" ht="15" hidden="false" customHeight="false" outlineLevel="0" collapsed="false">
      <c r="A530" s="18" t="s">
        <v>315</v>
      </c>
      <c r="B530" s="12" t="s">
        <v>307</v>
      </c>
      <c r="C530" s="12" t="s">
        <v>316</v>
      </c>
      <c r="D530" s="12" t="s">
        <v>317</v>
      </c>
      <c r="E530" s="12" t="s">
        <v>1686</v>
      </c>
      <c r="F530" s="19"/>
    </row>
    <row r="531" customFormat="false" ht="15" hidden="false" customHeight="false" outlineLevel="0" collapsed="false">
      <c r="A531" s="18" t="s">
        <v>315</v>
      </c>
      <c r="B531" s="12" t="s">
        <v>307</v>
      </c>
      <c r="C531" s="12" t="s">
        <v>316</v>
      </c>
      <c r="D531" s="12" t="s">
        <v>1687</v>
      </c>
      <c r="E531" s="12" t="s">
        <v>1688</v>
      </c>
      <c r="F531" s="19"/>
    </row>
    <row r="532" customFormat="false" ht="15" hidden="false" customHeight="false" outlineLevel="0" collapsed="false">
      <c r="A532" s="18" t="s">
        <v>315</v>
      </c>
      <c r="B532" s="12" t="s">
        <v>307</v>
      </c>
      <c r="C532" s="12" t="s">
        <v>316</v>
      </c>
      <c r="D532" s="12" t="s">
        <v>1689</v>
      </c>
      <c r="E532" s="12" t="s">
        <v>1690</v>
      </c>
      <c r="F532" s="19"/>
    </row>
    <row r="533" customFormat="false" ht="15" hidden="false" customHeight="false" outlineLevel="0" collapsed="false">
      <c r="A533" s="35" t="s">
        <v>315</v>
      </c>
      <c r="B533" s="34" t="s">
        <v>307</v>
      </c>
      <c r="C533" s="34" t="s">
        <v>316</v>
      </c>
      <c r="D533" s="34" t="s">
        <v>909</v>
      </c>
      <c r="E533" s="34" t="s">
        <v>910</v>
      </c>
      <c r="F533" s="36" t="s">
        <v>911</v>
      </c>
    </row>
    <row r="534" customFormat="false" ht="23.85" hidden="false" customHeight="false" outlineLevel="0" collapsed="false">
      <c r="A534" s="18" t="s">
        <v>318</v>
      </c>
      <c r="B534" s="12" t="s">
        <v>307</v>
      </c>
      <c r="C534" s="12" t="s">
        <v>319</v>
      </c>
      <c r="D534" s="12" t="s">
        <v>1377</v>
      </c>
      <c r="E534" s="12" t="s">
        <v>1691</v>
      </c>
      <c r="F534" s="19"/>
    </row>
    <row r="535" customFormat="false" ht="23.85" hidden="false" customHeight="false" outlineLevel="0" collapsed="false">
      <c r="A535" s="18" t="s">
        <v>318</v>
      </c>
      <c r="B535" s="12" t="s">
        <v>307</v>
      </c>
      <c r="C535" s="12" t="s">
        <v>319</v>
      </c>
      <c r="D535" s="12" t="s">
        <v>205</v>
      </c>
      <c r="E535" s="12" t="s">
        <v>1692</v>
      </c>
      <c r="F535" s="19"/>
    </row>
    <row r="536" customFormat="false" ht="23.85" hidden="false" customHeight="false" outlineLevel="0" collapsed="false">
      <c r="A536" s="18" t="s">
        <v>318</v>
      </c>
      <c r="B536" s="12" t="s">
        <v>307</v>
      </c>
      <c r="C536" s="12" t="s">
        <v>319</v>
      </c>
      <c r="D536" s="12" t="s">
        <v>1380</v>
      </c>
      <c r="E536" s="12" t="s">
        <v>1693</v>
      </c>
      <c r="F536" s="19"/>
    </row>
    <row r="537" customFormat="false" ht="23.85" hidden="false" customHeight="false" outlineLevel="0" collapsed="false">
      <c r="A537" s="18" t="s">
        <v>318</v>
      </c>
      <c r="B537" s="12" t="s">
        <v>307</v>
      </c>
      <c r="C537" s="12" t="s">
        <v>319</v>
      </c>
      <c r="D537" s="12" t="s">
        <v>1382</v>
      </c>
      <c r="E537" s="12" t="s">
        <v>1694</v>
      </c>
      <c r="F537" s="19" t="s">
        <v>1695</v>
      </c>
    </row>
    <row r="538" customFormat="false" ht="23.85" hidden="false" customHeight="false" outlineLevel="0" collapsed="false">
      <c r="A538" s="35" t="s">
        <v>318</v>
      </c>
      <c r="B538" s="34" t="s">
        <v>307</v>
      </c>
      <c r="C538" s="34" t="s">
        <v>319</v>
      </c>
      <c r="D538" s="34" t="s">
        <v>909</v>
      </c>
      <c r="E538" s="34" t="s">
        <v>910</v>
      </c>
      <c r="F538" s="36" t="s">
        <v>911</v>
      </c>
    </row>
    <row r="539" customFormat="false" ht="15" hidden="false" customHeight="false" outlineLevel="0" collapsed="false">
      <c r="A539" s="18" t="s">
        <v>320</v>
      </c>
      <c r="B539" s="12" t="s">
        <v>307</v>
      </c>
      <c r="C539" s="12" t="s">
        <v>321</v>
      </c>
      <c r="D539" s="12" t="s">
        <v>322</v>
      </c>
      <c r="E539" s="12" t="s">
        <v>1696</v>
      </c>
      <c r="F539" s="19"/>
    </row>
    <row r="540" customFormat="false" ht="15" hidden="false" customHeight="false" outlineLevel="0" collapsed="false">
      <c r="A540" s="18" t="s">
        <v>320</v>
      </c>
      <c r="B540" s="12" t="s">
        <v>307</v>
      </c>
      <c r="C540" s="12" t="s">
        <v>321</v>
      </c>
      <c r="D540" s="12" t="s">
        <v>1697</v>
      </c>
      <c r="E540" s="12" t="s">
        <v>1698</v>
      </c>
      <c r="F540" s="19"/>
    </row>
    <row r="541" customFormat="false" ht="15" hidden="false" customHeight="false" outlineLevel="0" collapsed="false">
      <c r="A541" s="18" t="s">
        <v>320</v>
      </c>
      <c r="B541" s="12" t="s">
        <v>307</v>
      </c>
      <c r="C541" s="12" t="s">
        <v>321</v>
      </c>
      <c r="D541" s="12" t="s">
        <v>1699</v>
      </c>
      <c r="E541" s="12" t="s">
        <v>1700</v>
      </c>
      <c r="F541" s="19"/>
    </row>
    <row r="542" customFormat="false" ht="15" hidden="false" customHeight="false" outlineLevel="0" collapsed="false">
      <c r="A542" s="18" t="s">
        <v>320</v>
      </c>
      <c r="B542" s="12" t="s">
        <v>307</v>
      </c>
      <c r="C542" s="12" t="s">
        <v>321</v>
      </c>
      <c r="D542" s="12" t="s">
        <v>1701</v>
      </c>
      <c r="E542" s="12" t="s">
        <v>1702</v>
      </c>
      <c r="F542" s="19"/>
    </row>
    <row r="543" customFormat="false" ht="15" hidden="false" customHeight="false" outlineLevel="0" collapsed="false">
      <c r="A543" s="18" t="s">
        <v>320</v>
      </c>
      <c r="B543" s="12" t="s">
        <v>307</v>
      </c>
      <c r="C543" s="12" t="s">
        <v>321</v>
      </c>
      <c r="D543" s="12" t="s">
        <v>1703</v>
      </c>
      <c r="E543" s="12" t="s">
        <v>1704</v>
      </c>
      <c r="F543" s="19"/>
    </row>
    <row r="544" customFormat="false" ht="15" hidden="false" customHeight="false" outlineLevel="0" collapsed="false">
      <c r="A544" s="18" t="s">
        <v>320</v>
      </c>
      <c r="B544" s="12" t="s">
        <v>307</v>
      </c>
      <c r="C544" s="12" t="s">
        <v>321</v>
      </c>
      <c r="D544" s="12" t="s">
        <v>1705</v>
      </c>
      <c r="E544" s="12" t="s">
        <v>1706</v>
      </c>
      <c r="F544" s="19"/>
    </row>
    <row r="545" customFormat="false" ht="15" hidden="false" customHeight="false" outlineLevel="0" collapsed="false">
      <c r="A545" s="18" t="s">
        <v>320</v>
      </c>
      <c r="B545" s="12" t="s">
        <v>307</v>
      </c>
      <c r="C545" s="12" t="s">
        <v>321</v>
      </c>
      <c r="D545" s="12" t="s">
        <v>1707</v>
      </c>
      <c r="E545" s="12" t="s">
        <v>1708</v>
      </c>
      <c r="F545" s="19"/>
    </row>
    <row r="546" customFormat="false" ht="15" hidden="false" customHeight="false" outlineLevel="0" collapsed="false">
      <c r="A546" s="18" t="s">
        <v>320</v>
      </c>
      <c r="B546" s="12" t="s">
        <v>307</v>
      </c>
      <c r="C546" s="12" t="s">
        <v>321</v>
      </c>
      <c r="D546" s="12" t="s">
        <v>1709</v>
      </c>
      <c r="E546" s="12" t="s">
        <v>1710</v>
      </c>
      <c r="F546" s="19"/>
    </row>
    <row r="547" customFormat="false" ht="15" hidden="false" customHeight="false" outlineLevel="0" collapsed="false">
      <c r="A547" s="18" t="s">
        <v>320</v>
      </c>
      <c r="B547" s="12" t="s">
        <v>307</v>
      </c>
      <c r="C547" s="12" t="s">
        <v>321</v>
      </c>
      <c r="D547" s="12" t="s">
        <v>1711</v>
      </c>
      <c r="E547" s="12" t="s">
        <v>1712</v>
      </c>
      <c r="F547" s="19"/>
    </row>
    <row r="548" customFormat="false" ht="15" hidden="false" customHeight="false" outlineLevel="0" collapsed="false">
      <c r="A548" s="18" t="s">
        <v>320</v>
      </c>
      <c r="B548" s="12" t="s">
        <v>307</v>
      </c>
      <c r="C548" s="12" t="s">
        <v>321</v>
      </c>
      <c r="D548" s="12" t="s">
        <v>325</v>
      </c>
      <c r="E548" s="12" t="s">
        <v>1713</v>
      </c>
      <c r="F548" s="19"/>
    </row>
    <row r="549" customFormat="false" ht="15" hidden="false" customHeight="false" outlineLevel="0" collapsed="false">
      <c r="A549" s="35" t="s">
        <v>320</v>
      </c>
      <c r="B549" s="34" t="s">
        <v>307</v>
      </c>
      <c r="C549" s="34" t="s">
        <v>321</v>
      </c>
      <c r="D549" s="34" t="s">
        <v>909</v>
      </c>
      <c r="E549" s="34" t="s">
        <v>910</v>
      </c>
      <c r="F549" s="36" t="s">
        <v>911</v>
      </c>
    </row>
    <row r="550" customFormat="false" ht="15" hidden="false" customHeight="false" outlineLevel="0" collapsed="false">
      <c r="A550" s="18" t="s">
        <v>323</v>
      </c>
      <c r="B550" s="12" t="s">
        <v>307</v>
      </c>
      <c r="C550" s="12" t="s">
        <v>324</v>
      </c>
      <c r="D550" s="12" t="s">
        <v>1063</v>
      </c>
      <c r="E550" s="12" t="s">
        <v>1714</v>
      </c>
      <c r="F550" s="19"/>
    </row>
    <row r="551" customFormat="false" ht="15" hidden="false" customHeight="false" outlineLevel="0" collapsed="false">
      <c r="A551" s="18" t="s">
        <v>323</v>
      </c>
      <c r="B551" s="12" t="s">
        <v>307</v>
      </c>
      <c r="C551" s="12" t="s">
        <v>324</v>
      </c>
      <c r="D551" s="12" t="s">
        <v>100</v>
      </c>
      <c r="E551" s="12" t="s">
        <v>1715</v>
      </c>
      <c r="F551" s="19"/>
    </row>
    <row r="552" customFormat="false" ht="15" hidden="false" customHeight="false" outlineLevel="0" collapsed="false">
      <c r="A552" s="18" t="s">
        <v>323</v>
      </c>
      <c r="B552" s="12" t="s">
        <v>307</v>
      </c>
      <c r="C552" s="12" t="s">
        <v>324</v>
      </c>
      <c r="D552" s="12" t="s">
        <v>1716</v>
      </c>
      <c r="E552" s="12" t="s">
        <v>1717</v>
      </c>
      <c r="F552" s="19"/>
    </row>
    <row r="553" customFormat="false" ht="15" hidden="false" customHeight="false" outlineLevel="0" collapsed="false">
      <c r="A553" s="18" t="s">
        <v>323</v>
      </c>
      <c r="B553" s="12" t="s">
        <v>307</v>
      </c>
      <c r="C553" s="12" t="s">
        <v>324</v>
      </c>
      <c r="D553" s="12" t="s">
        <v>325</v>
      </c>
      <c r="E553" s="12" t="s">
        <v>1718</v>
      </c>
      <c r="F553" s="19" t="s">
        <v>1719</v>
      </c>
    </row>
    <row r="554" customFormat="false" ht="15" hidden="false" customHeight="false" outlineLevel="0" collapsed="false">
      <c r="A554" s="18" t="s">
        <v>323</v>
      </c>
      <c r="B554" s="12" t="s">
        <v>307</v>
      </c>
      <c r="C554" s="12" t="s">
        <v>324</v>
      </c>
      <c r="D554" s="12" t="s">
        <v>1720</v>
      </c>
      <c r="E554" s="12" t="s">
        <v>1721</v>
      </c>
      <c r="F554" s="19"/>
    </row>
    <row r="555" customFormat="false" ht="15" hidden="false" customHeight="false" outlineLevel="0" collapsed="false">
      <c r="A555" s="35" t="s">
        <v>323</v>
      </c>
      <c r="B555" s="34" t="s">
        <v>307</v>
      </c>
      <c r="C555" s="34" t="s">
        <v>324</v>
      </c>
      <c r="D555" s="34" t="s">
        <v>909</v>
      </c>
      <c r="E555" s="34" t="s">
        <v>910</v>
      </c>
      <c r="F555" s="36" t="s">
        <v>911</v>
      </c>
    </row>
    <row r="556" customFormat="false" ht="15" hidden="false" customHeight="false" outlineLevel="0" collapsed="false">
      <c r="A556" s="18" t="s">
        <v>326</v>
      </c>
      <c r="B556" s="12" t="s">
        <v>307</v>
      </c>
      <c r="C556" s="12" t="s">
        <v>327</v>
      </c>
      <c r="D556" s="12" t="s">
        <v>1722</v>
      </c>
      <c r="E556" s="12" t="s">
        <v>1723</v>
      </c>
      <c r="F556" s="19" t="s">
        <v>1724</v>
      </c>
    </row>
    <row r="557" customFormat="false" ht="15" hidden="false" customHeight="false" outlineLevel="0" collapsed="false">
      <c r="A557" s="18" t="s">
        <v>326</v>
      </c>
      <c r="B557" s="12" t="s">
        <v>307</v>
      </c>
      <c r="C557" s="12" t="s">
        <v>327</v>
      </c>
      <c r="D557" s="12" t="s">
        <v>328</v>
      </c>
      <c r="E557" s="12" t="s">
        <v>1725</v>
      </c>
      <c r="F557" s="19"/>
    </row>
    <row r="558" customFormat="false" ht="15" hidden="false" customHeight="false" outlineLevel="0" collapsed="false">
      <c r="A558" s="18" t="s">
        <v>326</v>
      </c>
      <c r="B558" s="12" t="s">
        <v>307</v>
      </c>
      <c r="C558" s="12" t="s">
        <v>327</v>
      </c>
      <c r="D558" s="12" t="s">
        <v>1726</v>
      </c>
      <c r="E558" s="12" t="s">
        <v>1727</v>
      </c>
      <c r="F558" s="19"/>
    </row>
    <row r="559" customFormat="false" ht="15" hidden="false" customHeight="false" outlineLevel="0" collapsed="false">
      <c r="A559" s="18" t="s">
        <v>326</v>
      </c>
      <c r="B559" s="12" t="s">
        <v>307</v>
      </c>
      <c r="C559" s="12" t="s">
        <v>327</v>
      </c>
      <c r="D559" s="12" t="s">
        <v>1728</v>
      </c>
      <c r="E559" s="12" t="s">
        <v>1729</v>
      </c>
      <c r="F559" s="19"/>
    </row>
    <row r="560" customFormat="false" ht="15" hidden="false" customHeight="false" outlineLevel="0" collapsed="false">
      <c r="A560" s="18" t="s">
        <v>326</v>
      </c>
      <c r="B560" s="12" t="s">
        <v>307</v>
      </c>
      <c r="C560" s="12" t="s">
        <v>327</v>
      </c>
      <c r="D560" s="12" t="s">
        <v>75</v>
      </c>
      <c r="E560" s="12" t="s">
        <v>1730</v>
      </c>
      <c r="F560" s="19"/>
    </row>
    <row r="561" customFormat="false" ht="15" hidden="false" customHeight="false" outlineLevel="0" collapsed="false">
      <c r="A561" s="35" t="s">
        <v>326</v>
      </c>
      <c r="B561" s="34" t="s">
        <v>307</v>
      </c>
      <c r="C561" s="34" t="s">
        <v>327</v>
      </c>
      <c r="D561" s="34" t="s">
        <v>909</v>
      </c>
      <c r="E561" s="34" t="s">
        <v>910</v>
      </c>
      <c r="F561" s="36" t="s">
        <v>911</v>
      </c>
    </row>
    <row r="562" customFormat="false" ht="15" hidden="false" customHeight="false" outlineLevel="0" collapsed="false">
      <c r="A562" s="18" t="s">
        <v>329</v>
      </c>
      <c r="B562" s="12" t="s">
        <v>307</v>
      </c>
      <c r="C562" s="12" t="s">
        <v>330</v>
      </c>
      <c r="D562" s="12" t="s">
        <v>1731</v>
      </c>
      <c r="E562" s="12" t="s">
        <v>1732</v>
      </c>
      <c r="F562" s="19"/>
    </row>
    <row r="563" customFormat="false" ht="15" hidden="false" customHeight="false" outlineLevel="0" collapsed="false">
      <c r="A563" s="18" t="s">
        <v>329</v>
      </c>
      <c r="B563" s="12" t="s">
        <v>307</v>
      </c>
      <c r="C563" s="12" t="s">
        <v>330</v>
      </c>
      <c r="D563" s="12" t="s">
        <v>331</v>
      </c>
      <c r="E563" s="12" t="s">
        <v>1733</v>
      </c>
      <c r="F563" s="19"/>
    </row>
    <row r="564" customFormat="false" ht="15" hidden="false" customHeight="false" outlineLevel="0" collapsed="false">
      <c r="A564" s="18" t="s">
        <v>329</v>
      </c>
      <c r="B564" s="12" t="s">
        <v>307</v>
      </c>
      <c r="C564" s="12" t="s">
        <v>330</v>
      </c>
      <c r="D564" s="12" t="s">
        <v>1734</v>
      </c>
      <c r="E564" s="12" t="s">
        <v>1735</v>
      </c>
      <c r="F564" s="19"/>
    </row>
    <row r="565" customFormat="false" ht="15" hidden="false" customHeight="false" outlineLevel="0" collapsed="false">
      <c r="A565" s="35" t="s">
        <v>329</v>
      </c>
      <c r="B565" s="34" t="s">
        <v>307</v>
      </c>
      <c r="C565" s="34" t="s">
        <v>330</v>
      </c>
      <c r="D565" s="34" t="s">
        <v>909</v>
      </c>
      <c r="E565" s="34" t="s">
        <v>910</v>
      </c>
      <c r="F565" s="36" t="s">
        <v>911</v>
      </c>
    </row>
    <row r="566" customFormat="false" ht="15" hidden="false" customHeight="false" outlineLevel="0" collapsed="false">
      <c r="A566" s="18" t="s">
        <v>332</v>
      </c>
      <c r="B566" s="12" t="s">
        <v>307</v>
      </c>
      <c r="C566" s="12" t="s">
        <v>333</v>
      </c>
      <c r="D566" s="12" t="s">
        <v>1230</v>
      </c>
      <c r="E566" s="12" t="s">
        <v>1736</v>
      </c>
      <c r="F566" s="19"/>
    </row>
    <row r="567" customFormat="false" ht="15" hidden="false" customHeight="false" outlineLevel="0" collapsed="false">
      <c r="A567" s="18" t="s">
        <v>332</v>
      </c>
      <c r="B567" s="12" t="s">
        <v>307</v>
      </c>
      <c r="C567" s="12" t="s">
        <v>333</v>
      </c>
      <c r="D567" s="12" t="s">
        <v>334</v>
      </c>
      <c r="E567" s="12" t="s">
        <v>1737</v>
      </c>
      <c r="F567" s="19"/>
    </row>
    <row r="568" customFormat="false" ht="15" hidden="false" customHeight="false" outlineLevel="0" collapsed="false">
      <c r="A568" s="18" t="s">
        <v>332</v>
      </c>
      <c r="B568" s="12" t="s">
        <v>307</v>
      </c>
      <c r="C568" s="12" t="s">
        <v>333</v>
      </c>
      <c r="D568" s="12" t="s">
        <v>1738</v>
      </c>
      <c r="E568" s="12" t="s">
        <v>1739</v>
      </c>
      <c r="F568" s="19"/>
    </row>
    <row r="569" customFormat="false" ht="15" hidden="false" customHeight="false" outlineLevel="0" collapsed="false">
      <c r="A569" s="18" t="s">
        <v>332</v>
      </c>
      <c r="B569" s="12" t="s">
        <v>307</v>
      </c>
      <c r="C569" s="12" t="s">
        <v>333</v>
      </c>
      <c r="D569" s="12" t="s">
        <v>1740</v>
      </c>
      <c r="E569" s="12" t="s">
        <v>1741</v>
      </c>
      <c r="F569" s="19"/>
    </row>
    <row r="570" customFormat="false" ht="15" hidden="false" customHeight="false" outlineLevel="0" collapsed="false">
      <c r="A570" s="35" t="s">
        <v>332</v>
      </c>
      <c r="B570" s="34" t="s">
        <v>307</v>
      </c>
      <c r="C570" s="34" t="s">
        <v>333</v>
      </c>
      <c r="D570" s="34" t="s">
        <v>909</v>
      </c>
      <c r="E570" s="34" t="s">
        <v>910</v>
      </c>
      <c r="F570" s="36" t="s">
        <v>911</v>
      </c>
    </row>
    <row r="571" customFormat="false" ht="15" hidden="false" customHeight="false" outlineLevel="0" collapsed="false">
      <c r="A571" s="18" t="s">
        <v>335</v>
      </c>
      <c r="B571" s="12" t="s">
        <v>307</v>
      </c>
      <c r="C571" s="12" t="s">
        <v>336</v>
      </c>
      <c r="D571" s="12" t="s">
        <v>1742</v>
      </c>
      <c r="E571" s="12" t="s">
        <v>1743</v>
      </c>
      <c r="F571" s="19"/>
    </row>
    <row r="572" customFormat="false" ht="15" hidden="false" customHeight="false" outlineLevel="0" collapsed="false">
      <c r="A572" s="18" t="s">
        <v>335</v>
      </c>
      <c r="B572" s="12" t="s">
        <v>307</v>
      </c>
      <c r="C572" s="12" t="s">
        <v>336</v>
      </c>
      <c r="D572" s="12" t="s">
        <v>1744</v>
      </c>
      <c r="E572" s="12" t="s">
        <v>1745</v>
      </c>
      <c r="F572" s="19"/>
    </row>
    <row r="573" customFormat="false" ht="15" hidden="false" customHeight="false" outlineLevel="0" collapsed="false">
      <c r="A573" s="18" t="s">
        <v>335</v>
      </c>
      <c r="B573" s="12" t="s">
        <v>307</v>
      </c>
      <c r="C573" s="12" t="s">
        <v>336</v>
      </c>
      <c r="D573" s="12" t="s">
        <v>337</v>
      </c>
      <c r="E573" s="12" t="s">
        <v>1746</v>
      </c>
      <c r="F573" s="19"/>
    </row>
    <row r="574" customFormat="false" ht="15" hidden="false" customHeight="false" outlineLevel="0" collapsed="false">
      <c r="A574" s="18" t="s">
        <v>335</v>
      </c>
      <c r="B574" s="12" t="s">
        <v>307</v>
      </c>
      <c r="C574" s="12" t="s">
        <v>336</v>
      </c>
      <c r="D574" s="12" t="s">
        <v>1720</v>
      </c>
      <c r="E574" s="12" t="s">
        <v>1747</v>
      </c>
      <c r="F574" s="19"/>
    </row>
    <row r="575" customFormat="false" ht="15" hidden="false" customHeight="false" outlineLevel="0" collapsed="false">
      <c r="A575" s="35" t="s">
        <v>335</v>
      </c>
      <c r="B575" s="34" t="s">
        <v>307</v>
      </c>
      <c r="C575" s="34" t="s">
        <v>336</v>
      </c>
      <c r="D575" s="34" t="s">
        <v>909</v>
      </c>
      <c r="E575" s="34" t="s">
        <v>910</v>
      </c>
      <c r="F575" s="36" t="s">
        <v>911</v>
      </c>
    </row>
    <row r="576" customFormat="false" ht="22.35" hidden="false" customHeight="false" outlineLevel="0" collapsed="false">
      <c r="A576" s="18" t="s">
        <v>338</v>
      </c>
      <c r="B576" s="12" t="s">
        <v>339</v>
      </c>
      <c r="C576" s="12" t="s">
        <v>340</v>
      </c>
      <c r="D576" s="12" t="s">
        <v>1748</v>
      </c>
      <c r="E576" s="12" t="s">
        <v>1749</v>
      </c>
      <c r="F576" s="19" t="s">
        <v>1750</v>
      </c>
    </row>
    <row r="577" customFormat="false" ht="15" hidden="false" customHeight="false" outlineLevel="0" collapsed="false">
      <c r="A577" s="18" t="s">
        <v>338</v>
      </c>
      <c r="B577" s="12" t="s">
        <v>339</v>
      </c>
      <c r="C577" s="12" t="s">
        <v>340</v>
      </c>
      <c r="D577" s="12" t="s">
        <v>1751</v>
      </c>
      <c r="E577" s="12" t="s">
        <v>1752</v>
      </c>
      <c r="F577" s="19"/>
    </row>
    <row r="578" customFormat="false" ht="15" hidden="false" customHeight="false" outlineLevel="0" collapsed="false">
      <c r="A578" s="18" t="s">
        <v>338</v>
      </c>
      <c r="B578" s="12" t="s">
        <v>339</v>
      </c>
      <c r="C578" s="12" t="s">
        <v>340</v>
      </c>
      <c r="D578" s="12" t="s">
        <v>1753</v>
      </c>
      <c r="E578" s="12" t="s">
        <v>1754</v>
      </c>
      <c r="F578" s="19"/>
    </row>
    <row r="579" customFormat="false" ht="15" hidden="false" customHeight="false" outlineLevel="0" collapsed="false">
      <c r="A579" s="18" t="s">
        <v>338</v>
      </c>
      <c r="B579" s="12" t="s">
        <v>339</v>
      </c>
      <c r="C579" s="12" t="s">
        <v>340</v>
      </c>
      <c r="D579" s="12" t="s">
        <v>1755</v>
      </c>
      <c r="E579" s="12" t="s">
        <v>1756</v>
      </c>
      <c r="F579" s="19"/>
    </row>
    <row r="580" customFormat="false" ht="15" hidden="false" customHeight="false" outlineLevel="0" collapsed="false">
      <c r="A580" s="35" t="s">
        <v>338</v>
      </c>
      <c r="B580" s="34" t="s">
        <v>339</v>
      </c>
      <c r="C580" s="34" t="s">
        <v>340</v>
      </c>
      <c r="D580" s="34" t="s">
        <v>909</v>
      </c>
      <c r="E580" s="34" t="s">
        <v>910</v>
      </c>
      <c r="F580" s="36" t="s">
        <v>911</v>
      </c>
    </row>
    <row r="581" customFormat="false" ht="23.85" hidden="false" customHeight="false" outlineLevel="0" collapsed="false">
      <c r="A581" s="18" t="s">
        <v>342</v>
      </c>
      <c r="B581" s="12" t="s">
        <v>339</v>
      </c>
      <c r="C581" s="12" t="s">
        <v>343</v>
      </c>
      <c r="D581" s="12" t="s">
        <v>106</v>
      </c>
      <c r="E581" s="12" t="s">
        <v>1757</v>
      </c>
      <c r="F581" s="19"/>
    </row>
    <row r="582" customFormat="false" ht="23.85" hidden="false" customHeight="false" outlineLevel="0" collapsed="false">
      <c r="A582" s="18" t="s">
        <v>342</v>
      </c>
      <c r="B582" s="12" t="s">
        <v>339</v>
      </c>
      <c r="C582" s="12" t="s">
        <v>343</v>
      </c>
      <c r="D582" s="12" t="s">
        <v>1514</v>
      </c>
      <c r="E582" s="12" t="s">
        <v>1758</v>
      </c>
      <c r="F582" s="19"/>
    </row>
    <row r="583" customFormat="false" ht="23.85" hidden="false" customHeight="false" outlineLevel="0" collapsed="false">
      <c r="A583" s="18" t="s">
        <v>342</v>
      </c>
      <c r="B583" s="12" t="s">
        <v>339</v>
      </c>
      <c r="C583" s="12" t="s">
        <v>343</v>
      </c>
      <c r="D583" s="12" t="s">
        <v>1759</v>
      </c>
      <c r="E583" s="12" t="s">
        <v>1760</v>
      </c>
      <c r="F583" s="19"/>
    </row>
    <row r="584" customFormat="false" ht="23.85" hidden="false" customHeight="false" outlineLevel="0" collapsed="false">
      <c r="A584" s="18" t="s">
        <v>342</v>
      </c>
      <c r="B584" s="12" t="s">
        <v>339</v>
      </c>
      <c r="C584" s="12" t="s">
        <v>343</v>
      </c>
      <c r="D584" s="12" t="s">
        <v>118</v>
      </c>
      <c r="E584" s="12" t="s">
        <v>1761</v>
      </c>
      <c r="F584" s="19" t="s">
        <v>1762</v>
      </c>
    </row>
    <row r="585" customFormat="false" ht="23.85" hidden="false" customHeight="false" outlineLevel="0" collapsed="false">
      <c r="A585" s="35" t="s">
        <v>342</v>
      </c>
      <c r="B585" s="34" t="s">
        <v>339</v>
      </c>
      <c r="C585" s="34" t="s">
        <v>343</v>
      </c>
      <c r="D585" s="34" t="s">
        <v>909</v>
      </c>
      <c r="E585" s="34" t="s">
        <v>910</v>
      </c>
      <c r="F585" s="36" t="s">
        <v>911</v>
      </c>
    </row>
    <row r="586" customFormat="false" ht="15" hidden="false" customHeight="false" outlineLevel="0" collapsed="false">
      <c r="A586" s="18" t="s">
        <v>344</v>
      </c>
      <c r="B586" s="12" t="s">
        <v>339</v>
      </c>
      <c r="C586" s="12" t="s">
        <v>345</v>
      </c>
      <c r="D586" s="12" t="s">
        <v>1029</v>
      </c>
      <c r="E586" s="12" t="s">
        <v>1763</v>
      </c>
      <c r="F586" s="19"/>
    </row>
    <row r="587" customFormat="false" ht="15" hidden="false" customHeight="false" outlineLevel="0" collapsed="false">
      <c r="A587" s="18" t="s">
        <v>344</v>
      </c>
      <c r="B587" s="12" t="s">
        <v>339</v>
      </c>
      <c r="C587" s="12" t="s">
        <v>345</v>
      </c>
      <c r="D587" s="12" t="s">
        <v>292</v>
      </c>
      <c r="E587" s="12" t="s">
        <v>1764</v>
      </c>
      <c r="F587" s="19"/>
    </row>
    <row r="588" customFormat="false" ht="15" hidden="false" customHeight="false" outlineLevel="0" collapsed="false">
      <c r="A588" s="18" t="s">
        <v>344</v>
      </c>
      <c r="B588" s="12" t="s">
        <v>339</v>
      </c>
      <c r="C588" s="12" t="s">
        <v>345</v>
      </c>
      <c r="D588" s="12" t="s">
        <v>195</v>
      </c>
      <c r="E588" s="12" t="s">
        <v>1765</v>
      </c>
      <c r="F588" s="19"/>
    </row>
    <row r="589" customFormat="false" ht="15" hidden="false" customHeight="false" outlineLevel="0" collapsed="false">
      <c r="A589" s="18" t="s">
        <v>344</v>
      </c>
      <c r="B589" s="12" t="s">
        <v>339</v>
      </c>
      <c r="C589" s="12" t="s">
        <v>345</v>
      </c>
      <c r="D589" s="12" t="s">
        <v>1766</v>
      </c>
      <c r="E589" s="12" t="s">
        <v>1767</v>
      </c>
      <c r="F589" s="19"/>
    </row>
    <row r="590" customFormat="false" ht="15" hidden="false" customHeight="false" outlineLevel="0" collapsed="false">
      <c r="A590" s="35" t="s">
        <v>344</v>
      </c>
      <c r="B590" s="34" t="s">
        <v>339</v>
      </c>
      <c r="C590" s="34" t="s">
        <v>345</v>
      </c>
      <c r="D590" s="34" t="s">
        <v>909</v>
      </c>
      <c r="E590" s="34" t="s">
        <v>910</v>
      </c>
      <c r="F590" s="36" t="s">
        <v>911</v>
      </c>
    </row>
    <row r="591" customFormat="false" ht="15" hidden="false" customHeight="false" outlineLevel="0" collapsed="false">
      <c r="A591" s="18" t="s">
        <v>346</v>
      </c>
      <c r="B591" s="12" t="s">
        <v>339</v>
      </c>
      <c r="C591" s="12" t="s">
        <v>347</v>
      </c>
      <c r="D591" s="12" t="s">
        <v>106</v>
      </c>
      <c r="E591" s="12" t="s">
        <v>1091</v>
      </c>
      <c r="F591" s="19"/>
    </row>
    <row r="592" customFormat="false" ht="15" hidden="false" customHeight="false" outlineLevel="0" collapsed="false">
      <c r="A592" s="18" t="s">
        <v>346</v>
      </c>
      <c r="B592" s="12" t="s">
        <v>339</v>
      </c>
      <c r="C592" s="12" t="s">
        <v>347</v>
      </c>
      <c r="D592" s="12" t="s">
        <v>1768</v>
      </c>
      <c r="E592" s="12" t="s">
        <v>1769</v>
      </c>
      <c r="F592" s="19"/>
    </row>
    <row r="593" customFormat="false" ht="15" hidden="false" customHeight="false" outlineLevel="0" collapsed="false">
      <c r="A593" s="18" t="s">
        <v>346</v>
      </c>
      <c r="B593" s="12" t="s">
        <v>339</v>
      </c>
      <c r="C593" s="12" t="s">
        <v>347</v>
      </c>
      <c r="D593" s="12" t="s">
        <v>1770</v>
      </c>
      <c r="E593" s="12" t="s">
        <v>1771</v>
      </c>
      <c r="F593" s="19"/>
    </row>
    <row r="594" customFormat="false" ht="15" hidden="false" customHeight="false" outlineLevel="0" collapsed="false">
      <c r="A594" s="35" t="s">
        <v>346</v>
      </c>
      <c r="B594" s="34" t="s">
        <v>339</v>
      </c>
      <c r="C594" s="34" t="s">
        <v>347</v>
      </c>
      <c r="D594" s="34" t="s">
        <v>909</v>
      </c>
      <c r="E594" s="34" t="s">
        <v>910</v>
      </c>
      <c r="F594" s="36" t="s">
        <v>911</v>
      </c>
    </row>
    <row r="595" customFormat="false" ht="15" hidden="false" customHeight="false" outlineLevel="0" collapsed="false">
      <c r="A595" s="18" t="s">
        <v>348</v>
      </c>
      <c r="B595" s="12" t="s">
        <v>339</v>
      </c>
      <c r="C595" s="12" t="s">
        <v>349</v>
      </c>
      <c r="D595" s="12" t="s">
        <v>1514</v>
      </c>
      <c r="E595" s="12" t="s">
        <v>1772</v>
      </c>
      <c r="F595" s="19"/>
    </row>
    <row r="596" customFormat="false" ht="15" hidden="false" customHeight="false" outlineLevel="0" collapsed="false">
      <c r="A596" s="18" t="s">
        <v>348</v>
      </c>
      <c r="B596" s="12" t="s">
        <v>339</v>
      </c>
      <c r="C596" s="12" t="s">
        <v>349</v>
      </c>
      <c r="D596" s="12" t="s">
        <v>1773</v>
      </c>
      <c r="E596" s="12" t="s">
        <v>1774</v>
      </c>
      <c r="F596" s="19"/>
    </row>
    <row r="597" customFormat="false" ht="15" hidden="false" customHeight="false" outlineLevel="0" collapsed="false">
      <c r="A597" s="18" t="s">
        <v>348</v>
      </c>
      <c r="B597" s="12" t="s">
        <v>339</v>
      </c>
      <c r="C597" s="12" t="s">
        <v>349</v>
      </c>
      <c r="D597" s="12" t="s">
        <v>1516</v>
      </c>
      <c r="E597" s="12" t="s">
        <v>1775</v>
      </c>
      <c r="F597" s="19"/>
    </row>
    <row r="598" customFormat="false" ht="15" hidden="false" customHeight="false" outlineLevel="0" collapsed="false">
      <c r="A598" s="18" t="s">
        <v>348</v>
      </c>
      <c r="B598" s="12" t="s">
        <v>339</v>
      </c>
      <c r="C598" s="12" t="s">
        <v>349</v>
      </c>
      <c r="D598" s="12" t="s">
        <v>1776</v>
      </c>
      <c r="E598" s="12" t="s">
        <v>1777</v>
      </c>
      <c r="F598" s="19"/>
    </row>
    <row r="599" customFormat="false" ht="15" hidden="false" customHeight="false" outlineLevel="0" collapsed="false">
      <c r="A599" s="35" t="s">
        <v>348</v>
      </c>
      <c r="B599" s="34" t="s">
        <v>339</v>
      </c>
      <c r="C599" s="34" t="s">
        <v>349</v>
      </c>
      <c r="D599" s="34" t="s">
        <v>909</v>
      </c>
      <c r="E599" s="34" t="s">
        <v>910</v>
      </c>
      <c r="F599" s="36" t="s">
        <v>911</v>
      </c>
    </row>
    <row r="600" customFormat="false" ht="15" hidden="false" customHeight="false" outlineLevel="0" collapsed="false">
      <c r="A600" s="18" t="s">
        <v>351</v>
      </c>
      <c r="B600" s="12" t="s">
        <v>339</v>
      </c>
      <c r="C600" s="12" t="s">
        <v>352</v>
      </c>
      <c r="D600" s="12" t="s">
        <v>106</v>
      </c>
      <c r="E600" s="12" t="s">
        <v>1091</v>
      </c>
      <c r="F600" s="19"/>
    </row>
    <row r="601" customFormat="false" ht="23.85" hidden="false" customHeight="false" outlineLevel="0" collapsed="false">
      <c r="A601" s="18" t="s">
        <v>351</v>
      </c>
      <c r="B601" s="12" t="s">
        <v>339</v>
      </c>
      <c r="C601" s="12" t="s">
        <v>352</v>
      </c>
      <c r="D601" s="12" t="s">
        <v>238</v>
      </c>
      <c r="E601" s="12" t="s">
        <v>1778</v>
      </c>
      <c r="F601" s="19" t="s">
        <v>1779</v>
      </c>
    </row>
    <row r="602" customFormat="false" ht="15" hidden="false" customHeight="false" outlineLevel="0" collapsed="false">
      <c r="A602" s="18" t="s">
        <v>351</v>
      </c>
      <c r="B602" s="12" t="s">
        <v>339</v>
      </c>
      <c r="C602" s="12" t="s">
        <v>352</v>
      </c>
      <c r="D602" s="12" t="s">
        <v>1470</v>
      </c>
      <c r="E602" s="12" t="s">
        <v>1780</v>
      </c>
      <c r="F602" s="19"/>
    </row>
    <row r="603" customFormat="false" ht="15" hidden="false" customHeight="false" outlineLevel="0" collapsed="false">
      <c r="A603" s="35" t="s">
        <v>351</v>
      </c>
      <c r="B603" s="34" t="s">
        <v>339</v>
      </c>
      <c r="C603" s="34" t="s">
        <v>352</v>
      </c>
      <c r="D603" s="34" t="s">
        <v>909</v>
      </c>
      <c r="E603" s="34" t="s">
        <v>910</v>
      </c>
      <c r="F603" s="36" t="s">
        <v>911</v>
      </c>
    </row>
    <row r="604" customFormat="false" ht="15" hidden="false" customHeight="false" outlineLevel="0" collapsed="false">
      <c r="A604" s="18" t="s">
        <v>353</v>
      </c>
      <c r="B604" s="12" t="s">
        <v>339</v>
      </c>
      <c r="C604" s="12" t="s">
        <v>354</v>
      </c>
      <c r="D604" s="12" t="s">
        <v>75</v>
      </c>
      <c r="E604" s="12" t="s">
        <v>1781</v>
      </c>
      <c r="F604" s="19"/>
    </row>
    <row r="605" customFormat="false" ht="15" hidden="false" customHeight="false" outlineLevel="0" collapsed="false">
      <c r="A605" s="18" t="s">
        <v>353</v>
      </c>
      <c r="B605" s="12" t="s">
        <v>339</v>
      </c>
      <c r="C605" s="12" t="s">
        <v>354</v>
      </c>
      <c r="D605" s="12" t="s">
        <v>1033</v>
      </c>
      <c r="E605" s="12" t="s">
        <v>1782</v>
      </c>
      <c r="F605" s="19"/>
    </row>
    <row r="606" customFormat="false" ht="15" hidden="false" customHeight="false" outlineLevel="0" collapsed="false">
      <c r="A606" s="18" t="s">
        <v>353</v>
      </c>
      <c r="B606" s="12" t="s">
        <v>339</v>
      </c>
      <c r="C606" s="12" t="s">
        <v>354</v>
      </c>
      <c r="D606" s="12" t="s">
        <v>170</v>
      </c>
      <c r="E606" s="12" t="s">
        <v>1783</v>
      </c>
      <c r="F606" s="19"/>
    </row>
    <row r="607" customFormat="false" ht="15" hidden="false" customHeight="false" outlineLevel="0" collapsed="false">
      <c r="A607" s="18" t="s">
        <v>353</v>
      </c>
      <c r="B607" s="12" t="s">
        <v>339</v>
      </c>
      <c r="C607" s="12" t="s">
        <v>354</v>
      </c>
      <c r="D607" s="12" t="s">
        <v>1784</v>
      </c>
      <c r="E607" s="12" t="s">
        <v>1785</v>
      </c>
      <c r="F607" s="19"/>
    </row>
    <row r="608" customFormat="false" ht="15" hidden="false" customHeight="false" outlineLevel="0" collapsed="false">
      <c r="A608" s="35" t="s">
        <v>353</v>
      </c>
      <c r="B608" s="34" t="s">
        <v>339</v>
      </c>
      <c r="C608" s="34" t="s">
        <v>354</v>
      </c>
      <c r="D608" s="34" t="s">
        <v>909</v>
      </c>
      <c r="E608" s="34" t="s">
        <v>910</v>
      </c>
      <c r="F608" s="36" t="s">
        <v>911</v>
      </c>
    </row>
    <row r="609" customFormat="false" ht="15" hidden="false" customHeight="false" outlineLevel="0" collapsed="false">
      <c r="A609" s="18" t="s">
        <v>355</v>
      </c>
      <c r="B609" s="12" t="s">
        <v>339</v>
      </c>
      <c r="C609" s="12" t="s">
        <v>356</v>
      </c>
      <c r="D609" s="12" t="s">
        <v>106</v>
      </c>
      <c r="E609" s="12" t="s">
        <v>1091</v>
      </c>
      <c r="F609" s="19"/>
    </row>
    <row r="610" customFormat="false" ht="15" hidden="false" customHeight="false" outlineLevel="0" collapsed="false">
      <c r="A610" s="18" t="s">
        <v>355</v>
      </c>
      <c r="B610" s="12" t="s">
        <v>339</v>
      </c>
      <c r="C610" s="12" t="s">
        <v>356</v>
      </c>
      <c r="D610" s="12" t="s">
        <v>1786</v>
      </c>
      <c r="E610" s="12" t="s">
        <v>1787</v>
      </c>
      <c r="F610" s="19"/>
    </row>
    <row r="611" customFormat="false" ht="15" hidden="false" customHeight="false" outlineLevel="0" collapsed="false">
      <c r="A611" s="18" t="s">
        <v>355</v>
      </c>
      <c r="B611" s="12" t="s">
        <v>339</v>
      </c>
      <c r="C611" s="12" t="s">
        <v>356</v>
      </c>
      <c r="D611" s="12" t="s">
        <v>1788</v>
      </c>
      <c r="E611" s="12" t="s">
        <v>1789</v>
      </c>
      <c r="F611" s="19"/>
    </row>
    <row r="612" customFormat="false" ht="15" hidden="false" customHeight="false" outlineLevel="0" collapsed="false">
      <c r="A612" s="18" t="s">
        <v>355</v>
      </c>
      <c r="B612" s="12" t="s">
        <v>339</v>
      </c>
      <c r="C612" s="12" t="s">
        <v>356</v>
      </c>
      <c r="D612" s="12" t="s">
        <v>1790</v>
      </c>
      <c r="E612" s="12" t="s">
        <v>1791</v>
      </c>
      <c r="F612" s="19"/>
    </row>
    <row r="613" customFormat="false" ht="15" hidden="false" customHeight="false" outlineLevel="0" collapsed="false">
      <c r="A613" s="35" t="s">
        <v>355</v>
      </c>
      <c r="B613" s="34" t="s">
        <v>339</v>
      </c>
      <c r="C613" s="34" t="s">
        <v>356</v>
      </c>
      <c r="D613" s="34" t="s">
        <v>909</v>
      </c>
      <c r="E613" s="34" t="s">
        <v>910</v>
      </c>
      <c r="F613" s="36" t="s">
        <v>911</v>
      </c>
    </row>
    <row r="614" customFormat="false" ht="15" hidden="false" customHeight="false" outlineLevel="0" collapsed="false">
      <c r="A614" s="18" t="s">
        <v>357</v>
      </c>
      <c r="B614" s="12" t="s">
        <v>339</v>
      </c>
      <c r="C614" s="12" t="s">
        <v>358</v>
      </c>
      <c r="D614" s="12" t="s">
        <v>1792</v>
      </c>
      <c r="E614" s="12" t="s">
        <v>1793</v>
      </c>
      <c r="F614" s="19"/>
    </row>
    <row r="615" customFormat="false" ht="15" hidden="false" customHeight="false" outlineLevel="0" collapsed="false">
      <c r="A615" s="18" t="s">
        <v>357</v>
      </c>
      <c r="B615" s="12" t="s">
        <v>339</v>
      </c>
      <c r="C615" s="12" t="s">
        <v>358</v>
      </c>
      <c r="D615" s="12" t="s">
        <v>360</v>
      </c>
      <c r="E615" s="12" t="s">
        <v>1794</v>
      </c>
      <c r="F615" s="19"/>
    </row>
    <row r="616" customFormat="false" ht="15" hidden="false" customHeight="false" outlineLevel="0" collapsed="false">
      <c r="A616" s="18" t="s">
        <v>357</v>
      </c>
      <c r="B616" s="12" t="s">
        <v>339</v>
      </c>
      <c r="C616" s="12" t="s">
        <v>358</v>
      </c>
      <c r="D616" s="12" t="s">
        <v>1795</v>
      </c>
      <c r="E616" s="12" t="s">
        <v>1796</v>
      </c>
      <c r="F616" s="19" t="s">
        <v>1797</v>
      </c>
    </row>
    <row r="617" customFormat="false" ht="15" hidden="false" customHeight="false" outlineLevel="0" collapsed="false">
      <c r="A617" s="18" t="s">
        <v>357</v>
      </c>
      <c r="B617" s="12" t="s">
        <v>339</v>
      </c>
      <c r="C617" s="12" t="s">
        <v>358</v>
      </c>
      <c r="D617" s="12" t="s">
        <v>994</v>
      </c>
      <c r="E617" s="12" t="s">
        <v>1798</v>
      </c>
      <c r="F617" s="19"/>
    </row>
    <row r="618" customFormat="false" ht="15" hidden="false" customHeight="false" outlineLevel="0" collapsed="false">
      <c r="A618" s="35" t="s">
        <v>357</v>
      </c>
      <c r="B618" s="34" t="s">
        <v>339</v>
      </c>
      <c r="C618" s="34" t="s">
        <v>358</v>
      </c>
      <c r="D618" s="34" t="s">
        <v>909</v>
      </c>
      <c r="E618" s="34" t="s">
        <v>910</v>
      </c>
      <c r="F618" s="36" t="s">
        <v>911</v>
      </c>
    </row>
    <row r="619" customFormat="false" ht="15" hidden="false" customHeight="false" outlineLevel="0" collapsed="false">
      <c r="A619" s="18" t="s">
        <v>361</v>
      </c>
      <c r="B619" s="12" t="s">
        <v>339</v>
      </c>
      <c r="C619" s="12" t="s">
        <v>362</v>
      </c>
      <c r="D619" s="12" t="s">
        <v>106</v>
      </c>
      <c r="E619" s="12" t="s">
        <v>1091</v>
      </c>
      <c r="F619" s="19"/>
    </row>
    <row r="620" customFormat="false" ht="15" hidden="false" customHeight="false" outlineLevel="0" collapsed="false">
      <c r="A620" s="18" t="s">
        <v>361</v>
      </c>
      <c r="B620" s="12" t="s">
        <v>339</v>
      </c>
      <c r="C620" s="12" t="s">
        <v>362</v>
      </c>
      <c r="D620" s="12" t="s">
        <v>363</v>
      </c>
      <c r="E620" s="12" t="s">
        <v>1799</v>
      </c>
      <c r="F620" s="19"/>
    </row>
    <row r="621" customFormat="false" ht="15" hidden="false" customHeight="false" outlineLevel="0" collapsed="false">
      <c r="A621" s="18" t="s">
        <v>361</v>
      </c>
      <c r="B621" s="12" t="s">
        <v>339</v>
      </c>
      <c r="C621" s="12" t="s">
        <v>362</v>
      </c>
      <c r="D621" s="12" t="s">
        <v>1800</v>
      </c>
      <c r="E621" s="12" t="s">
        <v>1801</v>
      </c>
      <c r="F621" s="19"/>
    </row>
    <row r="622" customFormat="false" ht="15" hidden="false" customHeight="false" outlineLevel="0" collapsed="false">
      <c r="A622" s="35" t="s">
        <v>361</v>
      </c>
      <c r="B622" s="34" t="s">
        <v>339</v>
      </c>
      <c r="C622" s="34" t="s">
        <v>362</v>
      </c>
      <c r="D622" s="34" t="s">
        <v>909</v>
      </c>
      <c r="E622" s="34" t="s">
        <v>910</v>
      </c>
      <c r="F622" s="36" t="s">
        <v>911</v>
      </c>
    </row>
    <row r="623" customFormat="false" ht="15" hidden="false" customHeight="false" outlineLevel="0" collapsed="false">
      <c r="A623" s="18" t="s">
        <v>364</v>
      </c>
      <c r="B623" s="12" t="s">
        <v>339</v>
      </c>
      <c r="C623" s="12" t="s">
        <v>365</v>
      </c>
      <c r="D623" s="12" t="s">
        <v>208</v>
      </c>
      <c r="E623" s="12" t="s">
        <v>1802</v>
      </c>
      <c r="F623" s="19"/>
    </row>
    <row r="624" customFormat="false" ht="15" hidden="false" customHeight="false" outlineLevel="0" collapsed="false">
      <c r="A624" s="18" t="s">
        <v>364</v>
      </c>
      <c r="B624" s="12" t="s">
        <v>339</v>
      </c>
      <c r="C624" s="12" t="s">
        <v>365</v>
      </c>
      <c r="D624" s="12" t="s">
        <v>366</v>
      </c>
      <c r="E624" s="12" t="s">
        <v>1803</v>
      </c>
      <c r="F624" s="19"/>
    </row>
    <row r="625" customFormat="false" ht="15" hidden="false" customHeight="false" outlineLevel="0" collapsed="false">
      <c r="A625" s="18" t="s">
        <v>364</v>
      </c>
      <c r="B625" s="12" t="s">
        <v>339</v>
      </c>
      <c r="C625" s="12" t="s">
        <v>365</v>
      </c>
      <c r="D625" s="12" t="s">
        <v>280</v>
      </c>
      <c r="E625" s="12" t="s">
        <v>1804</v>
      </c>
      <c r="F625" s="19"/>
    </row>
    <row r="626" customFormat="false" ht="15" hidden="false" customHeight="false" outlineLevel="0" collapsed="false">
      <c r="A626" s="18" t="s">
        <v>364</v>
      </c>
      <c r="B626" s="12" t="s">
        <v>339</v>
      </c>
      <c r="C626" s="12" t="s">
        <v>365</v>
      </c>
      <c r="D626" s="12" t="s">
        <v>1805</v>
      </c>
      <c r="E626" s="12" t="s">
        <v>1806</v>
      </c>
      <c r="F626" s="19" t="s">
        <v>1807</v>
      </c>
    </row>
    <row r="627" customFormat="false" ht="15" hidden="false" customHeight="false" outlineLevel="0" collapsed="false">
      <c r="A627" s="35" t="s">
        <v>364</v>
      </c>
      <c r="B627" s="34" t="s">
        <v>339</v>
      </c>
      <c r="C627" s="34" t="s">
        <v>365</v>
      </c>
      <c r="D627" s="34" t="s">
        <v>909</v>
      </c>
      <c r="E627" s="34" t="s">
        <v>910</v>
      </c>
      <c r="F627" s="36" t="s">
        <v>911</v>
      </c>
    </row>
    <row r="628" customFormat="false" ht="15" hidden="false" customHeight="false" outlineLevel="0" collapsed="false">
      <c r="A628" s="18" t="s">
        <v>367</v>
      </c>
      <c r="B628" s="12" t="s">
        <v>339</v>
      </c>
      <c r="C628" s="12" t="s">
        <v>368</v>
      </c>
      <c r="D628" s="12" t="s">
        <v>75</v>
      </c>
      <c r="E628" s="12" t="s">
        <v>1808</v>
      </c>
      <c r="F628" s="19"/>
    </row>
    <row r="629" customFormat="false" ht="15" hidden="false" customHeight="false" outlineLevel="0" collapsed="false">
      <c r="A629" s="18" t="s">
        <v>367</v>
      </c>
      <c r="B629" s="12" t="s">
        <v>339</v>
      </c>
      <c r="C629" s="12" t="s">
        <v>368</v>
      </c>
      <c r="D629" s="12" t="s">
        <v>59</v>
      </c>
      <c r="E629" s="12" t="s">
        <v>1809</v>
      </c>
      <c r="F629" s="19"/>
    </row>
    <row r="630" customFormat="false" ht="15" hidden="false" customHeight="false" outlineLevel="0" collapsed="false">
      <c r="A630" s="18" t="s">
        <v>367</v>
      </c>
      <c r="B630" s="12" t="s">
        <v>339</v>
      </c>
      <c r="C630" s="12" t="s">
        <v>368</v>
      </c>
      <c r="D630" s="12" t="s">
        <v>65</v>
      </c>
      <c r="E630" s="12" t="s">
        <v>1810</v>
      </c>
      <c r="F630" s="19" t="s">
        <v>1811</v>
      </c>
    </row>
    <row r="631" customFormat="false" ht="15" hidden="false" customHeight="false" outlineLevel="0" collapsed="false">
      <c r="A631" s="18" t="s">
        <v>367</v>
      </c>
      <c r="B631" s="12" t="s">
        <v>339</v>
      </c>
      <c r="C631" s="12" t="s">
        <v>368</v>
      </c>
      <c r="D631" s="12" t="s">
        <v>1812</v>
      </c>
      <c r="E631" s="12" t="s">
        <v>1813</v>
      </c>
      <c r="F631" s="19"/>
    </row>
    <row r="632" customFormat="false" ht="15" hidden="false" customHeight="false" outlineLevel="0" collapsed="false">
      <c r="A632" s="35" t="s">
        <v>367</v>
      </c>
      <c r="B632" s="34" t="s">
        <v>339</v>
      </c>
      <c r="C632" s="34" t="s">
        <v>368</v>
      </c>
      <c r="D632" s="34" t="s">
        <v>909</v>
      </c>
      <c r="E632" s="34" t="s">
        <v>910</v>
      </c>
      <c r="F632" s="36" t="s">
        <v>911</v>
      </c>
    </row>
    <row r="633" customFormat="false" ht="15" hidden="false" customHeight="false" outlineLevel="0" collapsed="false">
      <c r="A633" s="18" t="s">
        <v>370</v>
      </c>
      <c r="B633" s="12" t="s">
        <v>339</v>
      </c>
      <c r="C633" s="12" t="s">
        <v>371</v>
      </c>
      <c r="D633" s="12" t="s">
        <v>106</v>
      </c>
      <c r="E633" s="12" t="s">
        <v>1814</v>
      </c>
      <c r="F633" s="19"/>
    </row>
    <row r="634" customFormat="false" ht="15" hidden="false" customHeight="false" outlineLevel="0" collapsed="false">
      <c r="A634" s="18" t="s">
        <v>370</v>
      </c>
      <c r="B634" s="12" t="s">
        <v>339</v>
      </c>
      <c r="C634" s="12" t="s">
        <v>371</v>
      </c>
      <c r="D634" s="12" t="s">
        <v>1815</v>
      </c>
      <c r="E634" s="12" t="s">
        <v>1816</v>
      </c>
      <c r="F634" s="19"/>
    </row>
    <row r="635" customFormat="false" ht="15" hidden="false" customHeight="false" outlineLevel="0" collapsed="false">
      <c r="A635" s="18" t="s">
        <v>370</v>
      </c>
      <c r="B635" s="12" t="s">
        <v>339</v>
      </c>
      <c r="C635" s="12" t="s">
        <v>371</v>
      </c>
      <c r="D635" s="12" t="s">
        <v>118</v>
      </c>
      <c r="E635" s="12" t="s">
        <v>1817</v>
      </c>
      <c r="F635" s="19"/>
    </row>
    <row r="636" customFormat="false" ht="15" hidden="false" customHeight="false" outlineLevel="0" collapsed="false">
      <c r="A636" s="35" t="s">
        <v>370</v>
      </c>
      <c r="B636" s="34" t="s">
        <v>339</v>
      </c>
      <c r="C636" s="34" t="s">
        <v>371</v>
      </c>
      <c r="D636" s="34" t="s">
        <v>909</v>
      </c>
      <c r="E636" s="34" t="s">
        <v>910</v>
      </c>
      <c r="F636" s="36" t="s">
        <v>911</v>
      </c>
    </row>
    <row r="637" customFormat="false" ht="15" hidden="false" customHeight="false" outlineLevel="0" collapsed="false">
      <c r="A637" s="18" t="s">
        <v>372</v>
      </c>
      <c r="B637" s="12" t="s">
        <v>339</v>
      </c>
      <c r="C637" s="12" t="s">
        <v>373</v>
      </c>
      <c r="D637" s="12" t="s">
        <v>106</v>
      </c>
      <c r="E637" s="12" t="s">
        <v>1818</v>
      </c>
      <c r="F637" s="19"/>
    </row>
    <row r="638" customFormat="false" ht="15" hidden="false" customHeight="false" outlineLevel="0" collapsed="false">
      <c r="A638" s="18" t="s">
        <v>372</v>
      </c>
      <c r="B638" s="12" t="s">
        <v>339</v>
      </c>
      <c r="C638" s="12" t="s">
        <v>373</v>
      </c>
      <c r="D638" s="12" t="s">
        <v>60</v>
      </c>
      <c r="E638" s="12" t="s">
        <v>1819</v>
      </c>
      <c r="F638" s="19" t="s">
        <v>1820</v>
      </c>
    </row>
    <row r="639" customFormat="false" ht="15" hidden="false" customHeight="false" outlineLevel="0" collapsed="false">
      <c r="A639" s="18" t="s">
        <v>372</v>
      </c>
      <c r="B639" s="12" t="s">
        <v>339</v>
      </c>
      <c r="C639" s="12" t="s">
        <v>373</v>
      </c>
      <c r="D639" s="12" t="s">
        <v>325</v>
      </c>
      <c r="E639" s="12" t="s">
        <v>1821</v>
      </c>
      <c r="F639" s="19"/>
    </row>
    <row r="640" customFormat="false" ht="15" hidden="false" customHeight="false" outlineLevel="0" collapsed="false">
      <c r="A640" s="35" t="s">
        <v>372</v>
      </c>
      <c r="B640" s="34" t="s">
        <v>339</v>
      </c>
      <c r="C640" s="34" t="s">
        <v>373</v>
      </c>
      <c r="D640" s="34" t="s">
        <v>909</v>
      </c>
      <c r="E640" s="34" t="s">
        <v>910</v>
      </c>
      <c r="F640" s="36" t="s">
        <v>911</v>
      </c>
    </row>
    <row r="641" customFormat="false" ht="15" hidden="false" customHeight="false" outlineLevel="0" collapsed="false">
      <c r="A641" s="18" t="s">
        <v>374</v>
      </c>
      <c r="B641" s="12" t="s">
        <v>339</v>
      </c>
      <c r="C641" s="12" t="s">
        <v>375</v>
      </c>
      <c r="D641" s="12" t="s">
        <v>1766</v>
      </c>
      <c r="E641" s="12" t="s">
        <v>1822</v>
      </c>
      <c r="F641" s="19"/>
    </row>
    <row r="642" customFormat="false" ht="15" hidden="false" customHeight="false" outlineLevel="0" collapsed="false">
      <c r="A642" s="18" t="s">
        <v>374</v>
      </c>
      <c r="B642" s="12" t="s">
        <v>339</v>
      </c>
      <c r="C642" s="12" t="s">
        <v>375</v>
      </c>
      <c r="D642" s="12" t="s">
        <v>1823</v>
      </c>
      <c r="E642" s="12" t="s">
        <v>1824</v>
      </c>
      <c r="F642" s="19"/>
    </row>
    <row r="643" customFormat="false" ht="15" hidden="false" customHeight="false" outlineLevel="0" collapsed="false">
      <c r="A643" s="18" t="s">
        <v>374</v>
      </c>
      <c r="B643" s="12" t="s">
        <v>339</v>
      </c>
      <c r="C643" s="12" t="s">
        <v>375</v>
      </c>
      <c r="D643" s="12" t="s">
        <v>1546</v>
      </c>
      <c r="E643" s="12" t="s">
        <v>1825</v>
      </c>
      <c r="F643" s="19"/>
    </row>
    <row r="644" customFormat="false" ht="15" hidden="false" customHeight="false" outlineLevel="0" collapsed="false">
      <c r="A644" s="35" t="s">
        <v>374</v>
      </c>
      <c r="B644" s="34" t="s">
        <v>339</v>
      </c>
      <c r="C644" s="34" t="s">
        <v>375</v>
      </c>
      <c r="D644" s="34" t="s">
        <v>909</v>
      </c>
      <c r="E644" s="34" t="s">
        <v>910</v>
      </c>
      <c r="F644" s="36" t="s">
        <v>911</v>
      </c>
    </row>
    <row r="645" customFormat="false" ht="23.85" hidden="false" customHeight="false" outlineLevel="0" collapsed="false">
      <c r="A645" s="18" t="s">
        <v>377</v>
      </c>
      <c r="B645" s="12" t="s">
        <v>339</v>
      </c>
      <c r="C645" s="12" t="s">
        <v>378</v>
      </c>
      <c r="D645" s="12" t="s">
        <v>106</v>
      </c>
      <c r="E645" s="12" t="s">
        <v>1091</v>
      </c>
      <c r="F645" s="19"/>
    </row>
    <row r="646" customFormat="false" ht="23.85" hidden="false" customHeight="false" outlineLevel="0" collapsed="false">
      <c r="A646" s="18" t="s">
        <v>377</v>
      </c>
      <c r="B646" s="12" t="s">
        <v>339</v>
      </c>
      <c r="C646" s="12" t="s">
        <v>378</v>
      </c>
      <c r="D646" s="12" t="s">
        <v>1260</v>
      </c>
      <c r="E646" s="12" t="s">
        <v>1826</v>
      </c>
      <c r="F646" s="19"/>
    </row>
    <row r="647" customFormat="false" ht="23.85" hidden="false" customHeight="false" outlineLevel="0" collapsed="false">
      <c r="A647" s="18" t="s">
        <v>377</v>
      </c>
      <c r="B647" s="12" t="s">
        <v>339</v>
      </c>
      <c r="C647" s="12" t="s">
        <v>378</v>
      </c>
      <c r="D647" s="12" t="s">
        <v>1263</v>
      </c>
      <c r="E647" s="12" t="s">
        <v>1827</v>
      </c>
      <c r="F647" s="19" t="s">
        <v>1828</v>
      </c>
    </row>
    <row r="648" customFormat="false" ht="23.85" hidden="false" customHeight="false" outlineLevel="0" collapsed="false">
      <c r="A648" s="35" t="s">
        <v>377</v>
      </c>
      <c r="B648" s="34" t="s">
        <v>339</v>
      </c>
      <c r="C648" s="34" t="s">
        <v>378</v>
      </c>
      <c r="D648" s="34" t="s">
        <v>909</v>
      </c>
      <c r="E648" s="34" t="s">
        <v>910</v>
      </c>
      <c r="F648" s="36" t="s">
        <v>911</v>
      </c>
    </row>
    <row r="649" customFormat="false" ht="15" hidden="false" customHeight="false" outlineLevel="0" collapsed="false">
      <c r="A649" s="18" t="s">
        <v>379</v>
      </c>
      <c r="B649" s="12" t="s">
        <v>339</v>
      </c>
      <c r="C649" s="12" t="s">
        <v>380</v>
      </c>
      <c r="D649" s="12" t="s">
        <v>106</v>
      </c>
      <c r="E649" s="12" t="s">
        <v>1429</v>
      </c>
      <c r="F649" s="19"/>
    </row>
    <row r="650" customFormat="false" ht="15" hidden="false" customHeight="false" outlineLevel="0" collapsed="false">
      <c r="A650" s="18" t="s">
        <v>379</v>
      </c>
      <c r="B650" s="12" t="s">
        <v>339</v>
      </c>
      <c r="C650" s="12" t="s">
        <v>380</v>
      </c>
      <c r="D650" s="12" t="s">
        <v>1829</v>
      </c>
      <c r="E650" s="12" t="s">
        <v>1830</v>
      </c>
      <c r="F650" s="19"/>
    </row>
    <row r="651" customFormat="false" ht="15" hidden="false" customHeight="false" outlineLevel="0" collapsed="false">
      <c r="A651" s="18" t="s">
        <v>379</v>
      </c>
      <c r="B651" s="12" t="s">
        <v>339</v>
      </c>
      <c r="C651" s="12" t="s">
        <v>380</v>
      </c>
      <c r="D651" s="12" t="s">
        <v>1831</v>
      </c>
      <c r="E651" s="12" t="s">
        <v>1832</v>
      </c>
      <c r="F651" s="19"/>
    </row>
    <row r="652" customFormat="false" ht="15" hidden="false" customHeight="false" outlineLevel="0" collapsed="false">
      <c r="A652" s="35" t="s">
        <v>379</v>
      </c>
      <c r="B652" s="34" t="s">
        <v>339</v>
      </c>
      <c r="C652" s="34" t="s">
        <v>380</v>
      </c>
      <c r="D652" s="34" t="s">
        <v>909</v>
      </c>
      <c r="E652" s="34" t="s">
        <v>910</v>
      </c>
      <c r="F652" s="36" t="s">
        <v>911</v>
      </c>
    </row>
    <row r="653" customFormat="false" ht="15" hidden="false" customHeight="false" outlineLevel="0" collapsed="false">
      <c r="A653" s="18" t="s">
        <v>382</v>
      </c>
      <c r="B653" s="12" t="s">
        <v>339</v>
      </c>
      <c r="C653" s="12" t="s">
        <v>383</v>
      </c>
      <c r="D653" s="12" t="s">
        <v>106</v>
      </c>
      <c r="E653" s="12" t="s">
        <v>1091</v>
      </c>
      <c r="F653" s="19"/>
    </row>
    <row r="654" customFormat="false" ht="15" hidden="false" customHeight="false" outlineLevel="0" collapsed="false">
      <c r="A654" s="18" t="s">
        <v>382</v>
      </c>
      <c r="B654" s="12" t="s">
        <v>339</v>
      </c>
      <c r="C654" s="12" t="s">
        <v>383</v>
      </c>
      <c r="D654" s="12" t="s">
        <v>1833</v>
      </c>
      <c r="E654" s="12" t="s">
        <v>1834</v>
      </c>
      <c r="F654" s="19"/>
    </row>
    <row r="655" customFormat="false" ht="15" hidden="false" customHeight="false" outlineLevel="0" collapsed="false">
      <c r="A655" s="18" t="s">
        <v>382</v>
      </c>
      <c r="B655" s="12" t="s">
        <v>339</v>
      </c>
      <c r="C655" s="12" t="s">
        <v>383</v>
      </c>
      <c r="D655" s="12" t="s">
        <v>1835</v>
      </c>
      <c r="E655" s="12" t="s">
        <v>1836</v>
      </c>
      <c r="F655" s="19"/>
    </row>
    <row r="656" customFormat="false" ht="15" hidden="false" customHeight="false" outlineLevel="0" collapsed="false">
      <c r="A656" s="18" t="s">
        <v>382</v>
      </c>
      <c r="B656" s="12" t="s">
        <v>339</v>
      </c>
      <c r="C656" s="12" t="s">
        <v>383</v>
      </c>
      <c r="D656" s="12" t="s">
        <v>1837</v>
      </c>
      <c r="E656" s="12" t="s">
        <v>1838</v>
      </c>
      <c r="F656" s="19" t="s">
        <v>1839</v>
      </c>
    </row>
    <row r="657" customFormat="false" ht="15" hidden="false" customHeight="false" outlineLevel="0" collapsed="false">
      <c r="A657" s="35" t="s">
        <v>382</v>
      </c>
      <c r="B657" s="34" t="s">
        <v>339</v>
      </c>
      <c r="C657" s="34" t="s">
        <v>383</v>
      </c>
      <c r="D657" s="34" t="s">
        <v>909</v>
      </c>
      <c r="E657" s="34" t="s">
        <v>910</v>
      </c>
      <c r="F657" s="36" t="s">
        <v>911</v>
      </c>
    </row>
    <row r="658" customFormat="false" ht="15" hidden="false" customHeight="false" outlineLevel="0" collapsed="false">
      <c r="A658" s="18" t="s">
        <v>384</v>
      </c>
      <c r="B658" s="12" t="s">
        <v>339</v>
      </c>
      <c r="C658" s="12" t="s">
        <v>385</v>
      </c>
      <c r="D658" s="12" t="s">
        <v>106</v>
      </c>
      <c r="E658" s="12" t="s">
        <v>1091</v>
      </c>
      <c r="F658" s="19"/>
    </row>
    <row r="659" customFormat="false" ht="15" hidden="false" customHeight="false" outlineLevel="0" collapsed="false">
      <c r="A659" s="18" t="s">
        <v>384</v>
      </c>
      <c r="B659" s="12" t="s">
        <v>339</v>
      </c>
      <c r="C659" s="12" t="s">
        <v>385</v>
      </c>
      <c r="D659" s="12" t="s">
        <v>1840</v>
      </c>
      <c r="E659" s="12" t="s">
        <v>1841</v>
      </c>
      <c r="F659" s="19"/>
    </row>
    <row r="660" customFormat="false" ht="15" hidden="false" customHeight="false" outlineLevel="0" collapsed="false">
      <c r="A660" s="18" t="s">
        <v>384</v>
      </c>
      <c r="B660" s="12" t="s">
        <v>339</v>
      </c>
      <c r="C660" s="12" t="s">
        <v>385</v>
      </c>
      <c r="D660" s="12" t="s">
        <v>1842</v>
      </c>
      <c r="E660" s="12" t="s">
        <v>1843</v>
      </c>
      <c r="F660" s="19"/>
    </row>
    <row r="661" customFormat="false" ht="15" hidden="false" customHeight="false" outlineLevel="0" collapsed="false">
      <c r="A661" s="35" t="s">
        <v>384</v>
      </c>
      <c r="B661" s="34" t="s">
        <v>339</v>
      </c>
      <c r="C661" s="34" t="s">
        <v>385</v>
      </c>
      <c r="D661" s="34" t="s">
        <v>909</v>
      </c>
      <c r="E661" s="34" t="s">
        <v>910</v>
      </c>
      <c r="F661" s="36" t="s">
        <v>911</v>
      </c>
    </row>
    <row r="662" customFormat="false" ht="23.85" hidden="false" customHeight="false" outlineLevel="0" collapsed="false">
      <c r="A662" s="18" t="s">
        <v>387</v>
      </c>
      <c r="B662" s="12" t="s">
        <v>339</v>
      </c>
      <c r="C662" s="12" t="s">
        <v>388</v>
      </c>
      <c r="D662" s="12" t="s">
        <v>106</v>
      </c>
      <c r="E662" s="12" t="s">
        <v>1091</v>
      </c>
      <c r="F662" s="19"/>
    </row>
    <row r="663" customFormat="false" ht="23.85" hidden="false" customHeight="false" outlineLevel="0" collapsed="false">
      <c r="A663" s="18" t="s">
        <v>387</v>
      </c>
      <c r="B663" s="12" t="s">
        <v>339</v>
      </c>
      <c r="C663" s="12" t="s">
        <v>388</v>
      </c>
      <c r="D663" s="12" t="s">
        <v>1844</v>
      </c>
      <c r="E663" s="12" t="s">
        <v>1845</v>
      </c>
      <c r="F663" s="19"/>
    </row>
    <row r="664" customFormat="false" ht="23.85" hidden="false" customHeight="false" outlineLevel="0" collapsed="false">
      <c r="A664" s="18" t="s">
        <v>387</v>
      </c>
      <c r="B664" s="12" t="s">
        <v>339</v>
      </c>
      <c r="C664" s="12" t="s">
        <v>388</v>
      </c>
      <c r="D664" s="12" t="s">
        <v>1720</v>
      </c>
      <c r="E664" s="12" t="s">
        <v>1846</v>
      </c>
      <c r="F664" s="19" t="s">
        <v>1847</v>
      </c>
    </row>
    <row r="665" customFormat="false" ht="23.85" hidden="false" customHeight="false" outlineLevel="0" collapsed="false">
      <c r="A665" s="35" t="s">
        <v>387</v>
      </c>
      <c r="B665" s="34" t="s">
        <v>339</v>
      </c>
      <c r="C665" s="34" t="s">
        <v>388</v>
      </c>
      <c r="D665" s="34" t="s">
        <v>909</v>
      </c>
      <c r="E665" s="34" t="s">
        <v>910</v>
      </c>
      <c r="F665" s="36" t="s">
        <v>911</v>
      </c>
    </row>
    <row r="666" customFormat="false" ht="15" hidden="false" customHeight="false" outlineLevel="0" collapsed="false">
      <c r="A666" s="18" t="s">
        <v>389</v>
      </c>
      <c r="B666" s="12" t="s">
        <v>339</v>
      </c>
      <c r="C666" s="12" t="s">
        <v>390</v>
      </c>
      <c r="D666" s="12" t="s">
        <v>100</v>
      </c>
      <c r="E666" s="12" t="s">
        <v>1848</v>
      </c>
      <c r="F666" s="19"/>
    </row>
    <row r="667" customFormat="false" ht="15" hidden="false" customHeight="false" outlineLevel="0" collapsed="false">
      <c r="A667" s="18" t="s">
        <v>389</v>
      </c>
      <c r="B667" s="12" t="s">
        <v>339</v>
      </c>
      <c r="C667" s="12" t="s">
        <v>390</v>
      </c>
      <c r="D667" s="12" t="s">
        <v>1341</v>
      </c>
      <c r="E667" s="12" t="s">
        <v>1849</v>
      </c>
      <c r="F667" s="19"/>
    </row>
    <row r="668" customFormat="false" ht="15" hidden="false" customHeight="false" outlineLevel="0" collapsed="false">
      <c r="A668" s="18" t="s">
        <v>389</v>
      </c>
      <c r="B668" s="12" t="s">
        <v>339</v>
      </c>
      <c r="C668" s="12" t="s">
        <v>390</v>
      </c>
      <c r="D668" s="12" t="s">
        <v>1850</v>
      </c>
      <c r="E668" s="12" t="s">
        <v>1851</v>
      </c>
      <c r="F668" s="19" t="s">
        <v>1852</v>
      </c>
    </row>
    <row r="669" customFormat="false" ht="15" hidden="false" customHeight="false" outlineLevel="0" collapsed="false">
      <c r="A669" s="18" t="s">
        <v>389</v>
      </c>
      <c r="B669" s="12" t="s">
        <v>339</v>
      </c>
      <c r="C669" s="12" t="s">
        <v>390</v>
      </c>
      <c r="D669" s="12" t="s">
        <v>1722</v>
      </c>
      <c r="E669" s="12" t="s">
        <v>1853</v>
      </c>
      <c r="F669" s="19"/>
    </row>
    <row r="670" customFormat="false" ht="15" hidden="false" customHeight="false" outlineLevel="0" collapsed="false">
      <c r="A670" s="35" t="s">
        <v>389</v>
      </c>
      <c r="B670" s="34" t="s">
        <v>339</v>
      </c>
      <c r="C670" s="34" t="s">
        <v>390</v>
      </c>
      <c r="D670" s="34" t="s">
        <v>909</v>
      </c>
      <c r="E670" s="34" t="s">
        <v>910</v>
      </c>
      <c r="F670" s="36" t="s">
        <v>911</v>
      </c>
    </row>
  </sheetData>
  <autoFilter ref="A1:F670"/>
  <printOptions headings="false" gridLines="false" gridLinesSet="true" horizontalCentered="fals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&amp;LQuestion bank&amp;R&amp;P /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6"/>
    <col collapsed="false" customWidth="true" hidden="false" outlineLevel="0" max="4" min="4" style="0" width="42"/>
    <col collapsed="false" customWidth="true" hidden="false" outlineLevel="0" max="5" min="5" style="0" width="11"/>
    <col collapsed="false" customWidth="true" hidden="false" outlineLevel="0" max="12" min="6" style="0" width="13"/>
    <col collapsed="false" customWidth="true" hidden="false" outlineLevel="0" max="13" min="13" style="0" width="12"/>
  </cols>
  <sheetData>
    <row r="1" customFormat="false" ht="30" hidden="false" customHeight="true" outlineLevel="0" collapsed="false">
      <c r="A1" s="17" t="s">
        <v>1854</v>
      </c>
      <c r="B1" s="17" t="s">
        <v>1855</v>
      </c>
      <c r="C1" s="17" t="s">
        <v>1856</v>
      </c>
      <c r="D1" s="17" t="s">
        <v>1857</v>
      </c>
      <c r="E1" s="17" t="s">
        <v>1858</v>
      </c>
      <c r="F1" s="17" t="s">
        <v>1859</v>
      </c>
      <c r="G1" s="17" t="s">
        <v>1860</v>
      </c>
      <c r="H1" s="17" t="s">
        <v>1861</v>
      </c>
      <c r="I1" s="17" t="s">
        <v>1862</v>
      </c>
      <c r="J1" s="17" t="s">
        <v>1863</v>
      </c>
      <c r="K1" s="17" t="s">
        <v>1864</v>
      </c>
      <c r="L1" s="17" t="s">
        <v>1865</v>
      </c>
      <c r="M1" s="17" t="s">
        <v>1866</v>
      </c>
    </row>
    <row r="2" customFormat="false" ht="15" hidden="false" customHeight="false" outlineLevel="0" collapsed="false">
      <c r="A2" s="18" t="s">
        <v>1867</v>
      </c>
      <c r="B2" s="12" t="s">
        <v>1868</v>
      </c>
      <c r="C2" s="12" t="s">
        <v>1069</v>
      </c>
      <c r="D2" s="12" t="s">
        <v>1869</v>
      </c>
      <c r="E2" s="12" t="s">
        <v>733</v>
      </c>
      <c r="F2" s="37" t="s">
        <v>1870</v>
      </c>
      <c r="G2" s="21"/>
      <c r="H2" s="37" t="s">
        <v>1870</v>
      </c>
      <c r="I2" s="21"/>
      <c r="J2" s="21"/>
      <c r="K2" s="37" t="s">
        <v>1870</v>
      </c>
      <c r="L2" s="37" t="s">
        <v>1870</v>
      </c>
      <c r="M2" s="21" t="n">
        <f aca="false">COUNTIF(F2:L2,"X")</f>
        <v>4</v>
      </c>
    </row>
    <row r="3" customFormat="false" ht="15" hidden="false" customHeight="false" outlineLevel="0" collapsed="false">
      <c r="A3" s="18" t="s">
        <v>1871</v>
      </c>
      <c r="B3" s="12" t="s">
        <v>1872</v>
      </c>
      <c r="C3" s="12" t="s">
        <v>1069</v>
      </c>
      <c r="D3" s="12" t="s">
        <v>1873</v>
      </c>
      <c r="E3" s="12" t="s">
        <v>733</v>
      </c>
      <c r="F3" s="21"/>
      <c r="G3" s="21"/>
      <c r="H3" s="37" t="s">
        <v>1870</v>
      </c>
      <c r="I3" s="21"/>
      <c r="J3" s="21"/>
      <c r="K3" s="21"/>
      <c r="L3" s="37" t="s">
        <v>1870</v>
      </c>
      <c r="M3" s="21" t="n">
        <f aca="false">COUNTIF(F3:L3,"X")</f>
        <v>2</v>
      </c>
    </row>
    <row r="4" customFormat="false" ht="15" hidden="false" customHeight="false" outlineLevel="0" collapsed="false">
      <c r="A4" s="18" t="s">
        <v>1874</v>
      </c>
      <c r="B4" s="12" t="s">
        <v>1875</v>
      </c>
      <c r="C4" s="12" t="s">
        <v>1069</v>
      </c>
      <c r="D4" s="12" t="s">
        <v>1876</v>
      </c>
      <c r="E4" s="38" t="s">
        <v>1877</v>
      </c>
      <c r="F4" s="21"/>
      <c r="G4" s="21"/>
      <c r="H4" s="37" t="s">
        <v>1870</v>
      </c>
      <c r="I4" s="21"/>
      <c r="J4" s="21"/>
      <c r="K4" s="21"/>
      <c r="L4" s="37" t="s">
        <v>1870</v>
      </c>
      <c r="M4" s="21" t="n">
        <f aca="false">COUNTIF(F4:L4,"X")</f>
        <v>2</v>
      </c>
    </row>
    <row r="5" customFormat="false" ht="15" hidden="false" customHeight="false" outlineLevel="0" collapsed="false">
      <c r="A5" s="18" t="s">
        <v>1878</v>
      </c>
      <c r="B5" s="12" t="s">
        <v>1879</v>
      </c>
      <c r="C5" s="12" t="s">
        <v>1069</v>
      </c>
      <c r="D5" s="12" t="s">
        <v>1880</v>
      </c>
      <c r="E5" s="38" t="s">
        <v>1877</v>
      </c>
      <c r="F5" s="21"/>
      <c r="G5" s="21"/>
      <c r="H5" s="21"/>
      <c r="I5" s="21"/>
      <c r="J5" s="21"/>
      <c r="K5" s="21"/>
      <c r="L5" s="37" t="s">
        <v>1870</v>
      </c>
      <c r="M5" s="21" t="n">
        <f aca="false">COUNTIF(F5:L5,"X")</f>
        <v>1</v>
      </c>
    </row>
    <row r="6" customFormat="false" ht="15" hidden="false" customHeight="false" outlineLevel="0" collapsed="false">
      <c r="A6" s="18" t="s">
        <v>1881</v>
      </c>
      <c r="B6" s="12" t="s">
        <v>1868</v>
      </c>
      <c r="C6" s="12" t="s">
        <v>1514</v>
      </c>
      <c r="D6" s="12" t="s">
        <v>1882</v>
      </c>
      <c r="E6" s="12" t="s">
        <v>733</v>
      </c>
      <c r="F6" s="37" t="s">
        <v>1870</v>
      </c>
      <c r="G6" s="21"/>
      <c r="H6" s="37" t="s">
        <v>1870</v>
      </c>
      <c r="I6" s="21"/>
      <c r="J6" s="37" t="s">
        <v>1870</v>
      </c>
      <c r="K6" s="37" t="s">
        <v>1870</v>
      </c>
      <c r="L6" s="37" t="s">
        <v>1870</v>
      </c>
      <c r="M6" s="21" t="n">
        <f aca="false">COUNTIF(F6:L6,"X")</f>
        <v>5</v>
      </c>
    </row>
    <row r="7" customFormat="false" ht="15" hidden="false" customHeight="false" outlineLevel="0" collapsed="false">
      <c r="A7" s="18" t="s">
        <v>1883</v>
      </c>
      <c r="B7" s="12" t="s">
        <v>244</v>
      </c>
      <c r="C7" s="12" t="s">
        <v>1514</v>
      </c>
      <c r="D7" s="12" t="s">
        <v>1884</v>
      </c>
      <c r="E7" s="38" t="s">
        <v>1877</v>
      </c>
      <c r="F7" s="21"/>
      <c r="G7" s="21"/>
      <c r="H7" s="21"/>
      <c r="I7" s="21"/>
      <c r="J7" s="21"/>
      <c r="K7" s="37" t="s">
        <v>1870</v>
      </c>
      <c r="L7" s="37" t="s">
        <v>1870</v>
      </c>
      <c r="M7" s="21" t="n">
        <f aca="false">COUNTIF(F7:L7,"X")</f>
        <v>2</v>
      </c>
    </row>
    <row r="8" customFormat="false" ht="15" hidden="false" customHeight="false" outlineLevel="0" collapsed="false">
      <c r="A8" s="18" t="s">
        <v>1885</v>
      </c>
      <c r="B8" s="12" t="s">
        <v>1886</v>
      </c>
      <c r="C8" s="12" t="s">
        <v>1514</v>
      </c>
      <c r="D8" s="12" t="s">
        <v>1887</v>
      </c>
      <c r="E8" s="38" t="s">
        <v>1877</v>
      </c>
      <c r="F8" s="21"/>
      <c r="G8" s="21"/>
      <c r="H8" s="21"/>
      <c r="I8" s="21"/>
      <c r="J8" s="21"/>
      <c r="K8" s="37" t="s">
        <v>1870</v>
      </c>
      <c r="L8" s="37" t="s">
        <v>1870</v>
      </c>
      <c r="M8" s="21" t="n">
        <f aca="false">COUNTIF(F8:L8,"X")</f>
        <v>2</v>
      </c>
    </row>
    <row r="9" customFormat="false" ht="15" hidden="false" customHeight="false" outlineLevel="0" collapsed="false">
      <c r="A9" s="18" t="s">
        <v>1888</v>
      </c>
      <c r="B9" s="12" t="s">
        <v>1868</v>
      </c>
      <c r="C9" s="12" t="s">
        <v>1889</v>
      </c>
      <c r="D9" s="12" t="s">
        <v>1890</v>
      </c>
      <c r="E9" s="12" t="s">
        <v>733</v>
      </c>
      <c r="F9" s="37" t="s">
        <v>1870</v>
      </c>
      <c r="G9" s="21"/>
      <c r="H9" s="37" t="s">
        <v>1870</v>
      </c>
      <c r="I9" s="21"/>
      <c r="J9" s="21"/>
      <c r="K9" s="21"/>
      <c r="L9" s="37" t="s">
        <v>1870</v>
      </c>
      <c r="M9" s="21" t="n">
        <f aca="false">COUNTIF(F9:L9,"X")</f>
        <v>3</v>
      </c>
    </row>
    <row r="10" customFormat="false" ht="15" hidden="false" customHeight="false" outlineLevel="0" collapsed="false">
      <c r="A10" s="18" t="s">
        <v>1891</v>
      </c>
      <c r="B10" s="12" t="s">
        <v>1892</v>
      </c>
      <c r="C10" s="12" t="s">
        <v>1889</v>
      </c>
      <c r="D10" s="12" t="s">
        <v>1893</v>
      </c>
      <c r="E10" s="38" t="s">
        <v>1877</v>
      </c>
      <c r="F10" s="21"/>
      <c r="G10" s="21"/>
      <c r="H10" s="37" t="s">
        <v>1870</v>
      </c>
      <c r="I10" s="21"/>
      <c r="J10" s="21"/>
      <c r="K10" s="21"/>
      <c r="L10" s="37" t="s">
        <v>1870</v>
      </c>
      <c r="M10" s="21" t="n">
        <f aca="false">COUNTIF(F10:L10,"X")</f>
        <v>2</v>
      </c>
    </row>
    <row r="11" customFormat="false" ht="15" hidden="false" customHeight="false" outlineLevel="0" collapsed="false">
      <c r="A11" s="18" t="s">
        <v>1894</v>
      </c>
      <c r="B11" s="12" t="s">
        <v>1868</v>
      </c>
      <c r="C11" s="12" t="s">
        <v>1895</v>
      </c>
      <c r="D11" s="12" t="s">
        <v>1896</v>
      </c>
      <c r="E11" s="12" t="s">
        <v>733</v>
      </c>
      <c r="F11" s="37" t="s">
        <v>1870</v>
      </c>
      <c r="G11" s="21"/>
      <c r="H11" s="37" t="s">
        <v>1870</v>
      </c>
      <c r="I11" s="21"/>
      <c r="J11" s="21"/>
      <c r="K11" s="21"/>
      <c r="L11" s="37" t="s">
        <v>1870</v>
      </c>
      <c r="M11" s="21" t="n">
        <f aca="false">COUNTIF(F11:L11,"X")</f>
        <v>3</v>
      </c>
    </row>
    <row r="12" customFormat="false" ht="15" hidden="false" customHeight="false" outlineLevel="0" collapsed="false">
      <c r="A12" s="18" t="s">
        <v>1897</v>
      </c>
      <c r="B12" s="12" t="s">
        <v>1528</v>
      </c>
      <c r="C12" s="12" t="s">
        <v>1895</v>
      </c>
      <c r="D12" s="12" t="s">
        <v>1898</v>
      </c>
      <c r="E12" s="12" t="s">
        <v>733</v>
      </c>
      <c r="F12" s="21"/>
      <c r="G12" s="21"/>
      <c r="H12" s="37" t="s">
        <v>1870</v>
      </c>
      <c r="I12" s="21"/>
      <c r="J12" s="21"/>
      <c r="K12" s="21"/>
      <c r="L12" s="37" t="s">
        <v>1870</v>
      </c>
      <c r="M12" s="21" t="n">
        <f aca="false">COUNTIF(F12:L12,"X")</f>
        <v>2</v>
      </c>
    </row>
    <row r="13" customFormat="false" ht="15" hidden="false" customHeight="false" outlineLevel="0" collapsed="false">
      <c r="A13" s="18" t="s">
        <v>1899</v>
      </c>
      <c r="B13" s="12" t="s">
        <v>1868</v>
      </c>
      <c r="C13" s="12" t="s">
        <v>1534</v>
      </c>
      <c r="D13" s="12" t="s">
        <v>1900</v>
      </c>
      <c r="E13" s="38" t="s">
        <v>1877</v>
      </c>
      <c r="F13" s="21"/>
      <c r="G13" s="21"/>
      <c r="H13" s="21"/>
      <c r="I13" s="21"/>
      <c r="J13" s="37" t="s">
        <v>1870</v>
      </c>
      <c r="K13" s="21"/>
      <c r="L13" s="37" t="s">
        <v>1870</v>
      </c>
      <c r="M13" s="21" t="n">
        <f aca="false">COUNTIF(F13:L13,"X")</f>
        <v>2</v>
      </c>
    </row>
    <row r="14" customFormat="false" ht="15" hidden="false" customHeight="false" outlineLevel="0" collapsed="false">
      <c r="A14" s="18" t="s">
        <v>1901</v>
      </c>
      <c r="B14" s="12" t="s">
        <v>1868</v>
      </c>
      <c r="C14" s="12" t="s">
        <v>1280</v>
      </c>
      <c r="D14" s="12" t="s">
        <v>1902</v>
      </c>
      <c r="E14" s="12" t="s">
        <v>733</v>
      </c>
      <c r="F14" s="21"/>
      <c r="G14" s="21"/>
      <c r="H14" s="37" t="s">
        <v>1870</v>
      </c>
      <c r="I14" s="21"/>
      <c r="J14" s="21"/>
      <c r="K14" s="21"/>
      <c r="L14" s="37" t="s">
        <v>1870</v>
      </c>
      <c r="M14" s="21" t="n">
        <f aca="false">COUNTIF(F14:L14,"X")</f>
        <v>2</v>
      </c>
    </row>
    <row r="15" customFormat="false" ht="15" hidden="false" customHeight="false" outlineLevel="0" collapsed="false">
      <c r="A15" s="18" t="s">
        <v>1903</v>
      </c>
      <c r="B15" s="12" t="s">
        <v>1904</v>
      </c>
      <c r="C15" s="12" t="s">
        <v>1905</v>
      </c>
      <c r="D15" s="12" t="s">
        <v>1906</v>
      </c>
      <c r="E15" s="38" t="s">
        <v>1877</v>
      </c>
      <c r="F15" s="21"/>
      <c r="G15" s="21"/>
      <c r="H15" s="21"/>
      <c r="I15" s="21"/>
      <c r="J15" s="21"/>
      <c r="K15" s="21"/>
      <c r="L15" s="37" t="s">
        <v>1870</v>
      </c>
      <c r="M15" s="21" t="n">
        <f aca="false">COUNTIF(F15:L15,"X")</f>
        <v>1</v>
      </c>
    </row>
    <row r="16" customFormat="false" ht="15" hidden="false" customHeight="false" outlineLevel="0" collapsed="false">
      <c r="A16" s="18" t="s">
        <v>1907</v>
      </c>
      <c r="B16" s="12" t="s">
        <v>1121</v>
      </c>
      <c r="C16" s="12" t="s">
        <v>1908</v>
      </c>
      <c r="D16" s="12" t="s">
        <v>1909</v>
      </c>
      <c r="E16" s="38" t="s">
        <v>1877</v>
      </c>
      <c r="F16" s="21"/>
      <c r="G16" s="21"/>
      <c r="H16" s="37" t="s">
        <v>1870</v>
      </c>
      <c r="I16" s="21"/>
      <c r="J16" s="21"/>
      <c r="K16" s="21"/>
      <c r="L16" s="37" t="s">
        <v>1870</v>
      </c>
      <c r="M16" s="21" t="n">
        <f aca="false">COUNTIF(F16:L16,"X")</f>
        <v>2</v>
      </c>
    </row>
    <row r="17" customFormat="false" ht="15" hidden="false" customHeight="false" outlineLevel="0" collapsed="false">
      <c r="A17" s="18" t="s">
        <v>1910</v>
      </c>
      <c r="B17" s="12" t="s">
        <v>1868</v>
      </c>
      <c r="C17" s="12" t="s">
        <v>1911</v>
      </c>
      <c r="D17" s="12" t="s">
        <v>1912</v>
      </c>
      <c r="E17" s="12" t="s">
        <v>733</v>
      </c>
      <c r="F17" s="21"/>
      <c r="G17" s="21"/>
      <c r="H17" s="21"/>
      <c r="I17" s="37" t="s">
        <v>1870</v>
      </c>
      <c r="J17" s="21"/>
      <c r="K17" s="21"/>
      <c r="L17" s="37" t="s">
        <v>1870</v>
      </c>
      <c r="M17" s="21" t="n">
        <f aca="false">COUNTIF(F17:L17,"X")</f>
        <v>2</v>
      </c>
    </row>
    <row r="18" customFormat="false" ht="15" hidden="false" customHeight="false" outlineLevel="0" collapsed="false">
      <c r="A18" s="18" t="s">
        <v>1913</v>
      </c>
      <c r="B18" s="12" t="s">
        <v>1892</v>
      </c>
      <c r="C18" s="12" t="s">
        <v>1911</v>
      </c>
      <c r="D18" s="12" t="s">
        <v>1914</v>
      </c>
      <c r="E18" s="38" t="s">
        <v>1877</v>
      </c>
      <c r="F18" s="21"/>
      <c r="G18" s="21"/>
      <c r="H18" s="21"/>
      <c r="I18" s="37" t="s">
        <v>1870</v>
      </c>
      <c r="J18" s="21"/>
      <c r="K18" s="21"/>
      <c r="L18" s="37" t="s">
        <v>1870</v>
      </c>
      <c r="M18" s="21" t="n">
        <f aca="false">COUNTIF(F18:L18,"X")</f>
        <v>2</v>
      </c>
    </row>
    <row r="19" customFormat="false" ht="15" hidden="false" customHeight="false" outlineLevel="0" collapsed="false">
      <c r="A19" s="18" t="s">
        <v>1915</v>
      </c>
      <c r="B19" s="12" t="s">
        <v>1892</v>
      </c>
      <c r="C19" s="12" t="s">
        <v>1916</v>
      </c>
      <c r="D19" s="12" t="s">
        <v>1917</v>
      </c>
      <c r="E19" s="38" t="s">
        <v>1877</v>
      </c>
      <c r="F19" s="21"/>
      <c r="G19" s="21"/>
      <c r="H19" s="21"/>
      <c r="I19" s="21"/>
      <c r="J19" s="37" t="s">
        <v>1870</v>
      </c>
      <c r="K19" s="21"/>
      <c r="L19" s="37" t="s">
        <v>1870</v>
      </c>
      <c r="M19" s="21" t="n">
        <f aca="false">COUNTIF(F19:L19,"X")</f>
        <v>2</v>
      </c>
    </row>
    <row r="21" customFormat="false" ht="15" hidden="false" customHeight="false" outlineLevel="0" collapsed="false">
      <c r="A21" s="3" t="s">
        <v>1918</v>
      </c>
    </row>
    <row r="22" customFormat="false" ht="33.75" hidden="false" customHeight="true" outlineLevel="0" collapsed="false">
      <c r="A22" s="39" t="s">
        <v>1919</v>
      </c>
      <c r="B22" s="39"/>
      <c r="C22" s="39"/>
      <c r="D22" s="39"/>
      <c r="E22" s="39"/>
      <c r="F22" s="39"/>
      <c r="G22" s="39"/>
      <c r="H22" s="39"/>
      <c r="I22" s="39"/>
      <c r="J22" s="39"/>
      <c r="K22" s="39"/>
      <c r="L22" s="39"/>
      <c r="M22" s="39"/>
    </row>
    <row r="23" customFormat="false" ht="33.75" hidden="false" customHeight="true" outlineLevel="0" collapsed="false">
      <c r="A23" s="39" t="s">
        <v>1920</v>
      </c>
      <c r="B23" s="39"/>
      <c r="C23" s="39"/>
      <c r="D23" s="39"/>
      <c r="E23" s="39"/>
      <c r="F23" s="39"/>
      <c r="G23" s="39"/>
      <c r="H23" s="39"/>
      <c r="I23" s="39"/>
      <c r="J23" s="39"/>
      <c r="K23" s="39"/>
      <c r="L23" s="39"/>
      <c r="M23" s="39"/>
    </row>
    <row r="24" customFormat="false" ht="33.75" hidden="false" customHeight="true" outlineLevel="0" collapsed="false">
      <c r="A24" s="39" t="s">
        <v>1921</v>
      </c>
      <c r="B24" s="39"/>
      <c r="C24" s="39"/>
      <c r="D24" s="39"/>
      <c r="E24" s="39"/>
      <c r="F24" s="39"/>
      <c r="G24" s="39"/>
      <c r="H24" s="39"/>
      <c r="I24" s="39"/>
      <c r="J24" s="39"/>
      <c r="K24" s="39"/>
      <c r="L24" s="39"/>
      <c r="M24" s="39"/>
    </row>
    <row r="25" customFormat="false" ht="33.75" hidden="false" customHeight="true" outlineLevel="0" collapsed="false">
      <c r="A25" s="39" t="s">
        <v>1922</v>
      </c>
      <c r="B25" s="39"/>
      <c r="C25" s="39"/>
      <c r="D25" s="39"/>
      <c r="E25" s="39"/>
      <c r="F25" s="39"/>
      <c r="G25" s="39"/>
      <c r="H25" s="39"/>
      <c r="I25" s="39"/>
      <c r="J25" s="39"/>
      <c r="K25" s="39"/>
      <c r="L25" s="39"/>
      <c r="M25" s="39"/>
    </row>
    <row r="26" customFormat="false" ht="33.75" hidden="false" customHeight="true" outlineLevel="0" collapsed="false">
      <c r="A26" s="39" t="s">
        <v>1923</v>
      </c>
      <c r="B26" s="39"/>
      <c r="C26" s="39"/>
      <c r="D26" s="39"/>
      <c r="E26" s="39"/>
      <c r="F26" s="39"/>
      <c r="G26" s="39"/>
      <c r="H26" s="39"/>
      <c r="I26" s="39"/>
      <c r="J26" s="39"/>
      <c r="K26" s="39"/>
      <c r="L26" s="39"/>
      <c r="M26" s="39"/>
    </row>
  </sheetData>
  <mergeCells count="5">
    <mergeCell ref="A22:M22"/>
    <mergeCell ref="A23:M23"/>
    <mergeCell ref="A24:M24"/>
    <mergeCell ref="A25:M25"/>
    <mergeCell ref="A26:M26"/>
  </mergeCells>
  <printOptions headings="false" gridLines="false" gridLinesSet="true" horizontalCentered="fals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&amp;LRole matrix&amp;R&amp;P /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2"/>
    <col collapsed="false" customWidth="true" hidden="false" outlineLevel="0" max="3" min="3" style="0" width="34"/>
    <col collapsed="false" customWidth="true" hidden="false" outlineLevel="0" max="4" min="4" style="0" width="46"/>
    <col collapsed="false" customWidth="true" hidden="false" outlineLevel="0" max="5" min="5" style="0" width="42"/>
    <col collapsed="false" customWidth="true" hidden="false" outlineLevel="0" max="6" min="6" style="0" width="46"/>
    <col collapsed="false" customWidth="true" hidden="false" outlineLevel="0" max="7" min="7" style="0" width="44"/>
    <col collapsed="false" customWidth="true" hidden="false" outlineLevel="0" max="8" min="8" style="0" width="50"/>
  </cols>
  <sheetData>
    <row r="1" customFormat="false" ht="30" hidden="false" customHeight="true" outlineLevel="0" collapsed="false">
      <c r="A1" s="17" t="s">
        <v>1924</v>
      </c>
      <c r="B1" s="17" t="s">
        <v>1925</v>
      </c>
      <c r="C1" s="17" t="s">
        <v>1926</v>
      </c>
      <c r="D1" s="17" t="s">
        <v>1927</v>
      </c>
      <c r="E1" s="17" t="s">
        <v>1928</v>
      </c>
      <c r="F1" s="17" t="s">
        <v>1929</v>
      </c>
      <c r="G1" s="17" t="s">
        <v>1930</v>
      </c>
      <c r="H1" s="17" t="s">
        <v>1931</v>
      </c>
    </row>
    <row r="2" customFormat="false" ht="35.05" hidden="false" customHeight="false" outlineLevel="0" collapsed="false">
      <c r="A2" s="18" t="s">
        <v>1932</v>
      </c>
      <c r="B2" s="12" t="s">
        <v>1933</v>
      </c>
      <c r="C2" s="12" t="s">
        <v>1934</v>
      </c>
      <c r="D2" s="12" t="s">
        <v>1935</v>
      </c>
      <c r="E2" s="12" t="s">
        <v>1936</v>
      </c>
      <c r="F2" s="12" t="s">
        <v>1937</v>
      </c>
      <c r="G2" s="12" t="s">
        <v>1938</v>
      </c>
      <c r="H2" s="12" t="s">
        <v>1939</v>
      </c>
    </row>
    <row r="3" customFormat="false" ht="57.45" hidden="false" customHeight="false" outlineLevel="0" collapsed="false">
      <c r="A3" s="18" t="s">
        <v>1940</v>
      </c>
      <c r="B3" s="12" t="s">
        <v>1941</v>
      </c>
      <c r="C3" s="12" t="s">
        <v>1942</v>
      </c>
      <c r="D3" s="12" t="s">
        <v>1943</v>
      </c>
      <c r="E3" s="12" t="s">
        <v>1944</v>
      </c>
      <c r="F3" s="12" t="s">
        <v>1945</v>
      </c>
      <c r="G3" s="12" t="s">
        <v>1946</v>
      </c>
      <c r="H3" s="12" t="s">
        <v>1947</v>
      </c>
    </row>
    <row r="4" customFormat="false" ht="68.65" hidden="false" customHeight="false" outlineLevel="0" collapsed="false">
      <c r="A4" s="18" t="s">
        <v>1948</v>
      </c>
      <c r="B4" s="12" t="s">
        <v>1949</v>
      </c>
      <c r="C4" s="12" t="s">
        <v>1950</v>
      </c>
      <c r="D4" s="12" t="s">
        <v>1951</v>
      </c>
      <c r="E4" s="12" t="s">
        <v>1952</v>
      </c>
      <c r="F4" s="12" t="s">
        <v>1953</v>
      </c>
      <c r="G4" s="12" t="s">
        <v>1954</v>
      </c>
      <c r="H4" s="12" t="s">
        <v>1955</v>
      </c>
    </row>
    <row r="5" customFormat="false" ht="23.85" hidden="false" customHeight="false" outlineLevel="0" collapsed="false">
      <c r="A5" s="18" t="s">
        <v>1956</v>
      </c>
      <c r="B5" s="12" t="s">
        <v>1957</v>
      </c>
      <c r="C5" s="12" t="s">
        <v>1958</v>
      </c>
      <c r="D5" s="12" t="s">
        <v>1959</v>
      </c>
      <c r="E5" s="12" t="s">
        <v>1960</v>
      </c>
      <c r="F5" s="12" t="s">
        <v>1961</v>
      </c>
      <c r="G5" s="12" t="s">
        <v>1962</v>
      </c>
      <c r="H5" s="12" t="s">
        <v>1963</v>
      </c>
    </row>
    <row r="6" customFormat="false" ht="23.85" hidden="false" customHeight="false" outlineLevel="0" collapsed="false">
      <c r="A6" s="18" t="s">
        <v>1964</v>
      </c>
      <c r="B6" s="12" t="s">
        <v>1965</v>
      </c>
      <c r="C6" s="12" t="s">
        <v>1966</v>
      </c>
      <c r="D6" s="12" t="s">
        <v>1967</v>
      </c>
      <c r="E6" s="12" t="s">
        <v>1968</v>
      </c>
      <c r="F6" s="12" t="s">
        <v>1969</v>
      </c>
      <c r="G6" s="12" t="s">
        <v>1970</v>
      </c>
      <c r="H6" s="12" t="s">
        <v>1971</v>
      </c>
    </row>
    <row r="7" customFormat="false" ht="35.05" hidden="false" customHeight="false" outlineLevel="0" collapsed="false">
      <c r="A7" s="18" t="s">
        <v>1972</v>
      </c>
      <c r="B7" s="12" t="s">
        <v>1973</v>
      </c>
      <c r="C7" s="12" t="s">
        <v>1974</v>
      </c>
      <c r="D7" s="12" t="s">
        <v>1975</v>
      </c>
      <c r="E7" s="12" t="s">
        <v>1976</v>
      </c>
      <c r="F7" s="12" t="s">
        <v>1977</v>
      </c>
      <c r="G7" s="12" t="s">
        <v>1978</v>
      </c>
      <c r="H7" s="12" t="s">
        <v>1979</v>
      </c>
    </row>
    <row r="8" customFormat="false" ht="23.85" hidden="false" customHeight="false" outlineLevel="0" collapsed="false">
      <c r="A8" s="18" t="s">
        <v>1581</v>
      </c>
      <c r="B8" s="12" t="s">
        <v>1980</v>
      </c>
      <c r="C8" s="12" t="s">
        <v>1981</v>
      </c>
      <c r="D8" s="12" t="s">
        <v>1982</v>
      </c>
      <c r="E8" s="12" t="s">
        <v>1983</v>
      </c>
      <c r="F8" s="12" t="s">
        <v>1984</v>
      </c>
      <c r="G8" s="12" t="s">
        <v>1985</v>
      </c>
      <c r="H8" s="12" t="s">
        <v>1986</v>
      </c>
    </row>
    <row r="10" customFormat="false" ht="48" hidden="false" customHeight="true" outlineLevel="0" collapsed="false">
      <c r="A10" s="40" t="s">
        <v>1987</v>
      </c>
      <c r="B10" s="40"/>
      <c r="C10" s="40"/>
      <c r="D10" s="40"/>
      <c r="E10" s="40"/>
      <c r="F10" s="40"/>
      <c r="G10" s="40"/>
      <c r="H10" s="40"/>
    </row>
  </sheetData>
  <mergeCells count="1">
    <mergeCell ref="A10:H10"/>
  </mergeCells>
  <printOptions headings="false" gridLines="false" gridLinesSet="true" horizontalCentered="fals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&amp;LRegime clocks&amp;R&amp;P /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40"/>
    <col collapsed="false" customWidth="true" hidden="false" outlineLevel="0" max="4" min="4" style="0" width="17"/>
    <col collapsed="false" customWidth="true" hidden="false" outlineLevel="0" max="5" min="5" style="0" width="20"/>
    <col collapsed="false" customWidth="true" hidden="false" outlineLevel="0" max="6" min="6" style="0" width="64"/>
    <col collapsed="false" customWidth="true" hidden="false" outlineLevel="0" max="7" min="7" style="0" width="80"/>
  </cols>
  <sheetData>
    <row r="1" customFormat="false" ht="30" hidden="false" customHeight="true" outlineLevel="0" collapsed="false">
      <c r="A1" s="17" t="s">
        <v>1988</v>
      </c>
      <c r="B1" s="17" t="s">
        <v>1989</v>
      </c>
      <c r="C1" s="17" t="s">
        <v>1990</v>
      </c>
      <c r="D1" s="17" t="s">
        <v>1991</v>
      </c>
      <c r="E1" s="17" t="s">
        <v>1992</v>
      </c>
      <c r="F1" s="17" t="s">
        <v>1993</v>
      </c>
      <c r="G1" s="17" t="s">
        <v>1994</v>
      </c>
    </row>
    <row r="2" customFormat="false" ht="43.25" hidden="false" customHeight="false" outlineLevel="0" collapsed="false">
      <c r="A2" s="18" t="s">
        <v>1995</v>
      </c>
      <c r="B2" s="12" t="s">
        <v>1996</v>
      </c>
      <c r="C2" s="12" t="s">
        <v>1997</v>
      </c>
      <c r="D2" s="41" t="s">
        <v>1091</v>
      </c>
      <c r="E2" s="41" t="s">
        <v>1091</v>
      </c>
      <c r="F2" s="12" t="s">
        <v>1998</v>
      </c>
      <c r="G2" s="19" t="s">
        <v>1999</v>
      </c>
    </row>
    <row r="3" customFormat="false" ht="43.25" hidden="false" customHeight="false" outlineLevel="0" collapsed="false">
      <c r="A3" s="18" t="s">
        <v>2000</v>
      </c>
      <c r="B3" s="12" t="s">
        <v>2001</v>
      </c>
      <c r="C3" s="12" t="s">
        <v>2002</v>
      </c>
      <c r="D3" s="42" t="s">
        <v>2003</v>
      </c>
      <c r="E3" s="42" t="s">
        <v>2003</v>
      </c>
      <c r="F3" s="12" t="s">
        <v>2004</v>
      </c>
      <c r="G3" s="19" t="s">
        <v>2005</v>
      </c>
    </row>
    <row r="4" customFormat="false" ht="43.25" hidden="false" customHeight="false" outlineLevel="0" collapsed="false">
      <c r="A4" s="18" t="s">
        <v>2006</v>
      </c>
      <c r="B4" s="12" t="s">
        <v>2007</v>
      </c>
      <c r="C4" s="12" t="s">
        <v>2008</v>
      </c>
      <c r="D4" s="42" t="s">
        <v>2003</v>
      </c>
      <c r="E4" s="42" t="s">
        <v>2003</v>
      </c>
      <c r="F4" s="12" t="s">
        <v>2009</v>
      </c>
      <c r="G4" s="19" t="s">
        <v>2010</v>
      </c>
    </row>
    <row r="5" customFormat="false" ht="23.85" hidden="false" customHeight="false" outlineLevel="0" collapsed="false">
      <c r="A5" s="18" t="s">
        <v>1200</v>
      </c>
      <c r="B5" s="12" t="s">
        <v>2011</v>
      </c>
      <c r="C5" s="12" t="s">
        <v>2012</v>
      </c>
      <c r="D5" s="41" t="s">
        <v>1091</v>
      </c>
      <c r="E5" s="41" t="s">
        <v>1091</v>
      </c>
      <c r="F5" s="12" t="s">
        <v>2013</v>
      </c>
      <c r="G5" s="19" t="s">
        <v>2014</v>
      </c>
    </row>
    <row r="6" customFormat="false" ht="23.85" hidden="false" customHeight="false" outlineLevel="0" collapsed="false">
      <c r="A6" s="18" t="s">
        <v>1202</v>
      </c>
      <c r="B6" s="12" t="s">
        <v>2015</v>
      </c>
      <c r="C6" s="12" t="s">
        <v>2016</v>
      </c>
      <c r="D6" s="41" t="s">
        <v>1091</v>
      </c>
      <c r="E6" s="41" t="s">
        <v>1091</v>
      </c>
      <c r="F6" s="12" t="s">
        <v>2017</v>
      </c>
      <c r="G6" s="19" t="s">
        <v>2018</v>
      </c>
    </row>
    <row r="7" customFormat="false" ht="32.8" hidden="false" customHeight="false" outlineLevel="0" collapsed="false">
      <c r="A7" s="18" t="s">
        <v>1204</v>
      </c>
      <c r="B7" s="12" t="s">
        <v>2019</v>
      </c>
      <c r="C7" s="12" t="s">
        <v>2020</v>
      </c>
      <c r="D7" s="41" t="s">
        <v>1091</v>
      </c>
      <c r="E7" s="41" t="s">
        <v>1091</v>
      </c>
      <c r="F7" s="12" t="s">
        <v>2021</v>
      </c>
      <c r="G7" s="19" t="s">
        <v>2022</v>
      </c>
    </row>
    <row r="8" customFormat="false" ht="32.8" hidden="false" customHeight="false" outlineLevel="0" collapsed="false">
      <c r="A8" s="18" t="s">
        <v>1206</v>
      </c>
      <c r="B8" s="12" t="s">
        <v>2023</v>
      </c>
      <c r="C8" s="12" t="s">
        <v>2024</v>
      </c>
      <c r="D8" s="41" t="s">
        <v>1091</v>
      </c>
      <c r="E8" s="41" t="s">
        <v>1091</v>
      </c>
      <c r="F8" s="12" t="s">
        <v>2025</v>
      </c>
      <c r="G8" s="19" t="s">
        <v>2026</v>
      </c>
    </row>
    <row r="9" customFormat="false" ht="22.35" hidden="false" customHeight="false" outlineLevel="0" collapsed="false">
      <c r="A9" s="18" t="s">
        <v>2027</v>
      </c>
      <c r="B9" s="12" t="s">
        <v>2015</v>
      </c>
      <c r="C9" s="12" t="s">
        <v>2028</v>
      </c>
      <c r="D9" s="41" t="s">
        <v>1091</v>
      </c>
      <c r="E9" s="41" t="s">
        <v>1091</v>
      </c>
      <c r="F9" s="12" t="s">
        <v>2029</v>
      </c>
      <c r="G9" s="19" t="s">
        <v>2030</v>
      </c>
    </row>
    <row r="10" customFormat="false" ht="23.85" hidden="false" customHeight="false" outlineLevel="0" collapsed="false">
      <c r="A10" s="18" t="s">
        <v>2031</v>
      </c>
      <c r="B10" s="12" t="s">
        <v>2032</v>
      </c>
      <c r="C10" s="12" t="s">
        <v>2033</v>
      </c>
      <c r="D10" s="42" t="s">
        <v>2003</v>
      </c>
      <c r="E10" s="42" t="s">
        <v>2003</v>
      </c>
      <c r="F10" s="12" t="s">
        <v>2034</v>
      </c>
      <c r="G10" s="19" t="s">
        <v>2035</v>
      </c>
    </row>
    <row r="11" customFormat="false" ht="23.85" hidden="false" customHeight="false" outlineLevel="0" collapsed="false">
      <c r="A11" s="18" t="s">
        <v>2036</v>
      </c>
      <c r="B11" s="12" t="s">
        <v>2037</v>
      </c>
      <c r="C11" s="12" t="s">
        <v>2038</v>
      </c>
      <c r="D11" s="43" t="s">
        <v>2039</v>
      </c>
      <c r="E11" s="43" t="s">
        <v>2039</v>
      </c>
      <c r="F11" s="12" t="s">
        <v>2040</v>
      </c>
      <c r="G11" s="19" t="s">
        <v>2041</v>
      </c>
    </row>
    <row r="13" customFormat="false" ht="48" hidden="false" customHeight="true" outlineLevel="0" collapsed="false">
      <c r="A13" s="40" t="s">
        <v>2042</v>
      </c>
      <c r="B13" s="40"/>
      <c r="C13" s="40"/>
      <c r="D13" s="40"/>
      <c r="E13" s="40"/>
      <c r="F13" s="40"/>
      <c r="G13" s="40"/>
    </row>
  </sheetData>
  <mergeCells count="1">
    <mergeCell ref="A13:G13"/>
  </mergeCells>
  <printOptions headings="false" gridLines="false" gridLinesSet="true" horizontalCentered="fals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&amp;LAuthenticators&amp;R&amp;P /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50"/>
  </cols>
  <sheetData>
    <row r="1" customFormat="false" ht="30" hidden="false" customHeight="true" outlineLevel="0" collapsed="false">
      <c r="A1" s="17" t="s">
        <v>2043</v>
      </c>
      <c r="B1" s="17" t="s">
        <v>2044</v>
      </c>
    </row>
    <row r="2" customFormat="false" ht="15" hidden="false" customHeight="false" outlineLevel="0" collapsed="false">
      <c r="A2" s="18" t="s">
        <v>2045</v>
      </c>
      <c r="B2" s="12" t="s">
        <v>2046</v>
      </c>
    </row>
    <row r="3" customFormat="false" ht="15" hidden="false" customHeight="false" outlineLevel="0" collapsed="false">
      <c r="A3" s="18" t="s">
        <v>2047</v>
      </c>
      <c r="B3" s="12" t="s">
        <v>2048</v>
      </c>
    </row>
    <row r="4" customFormat="false" ht="15" hidden="false" customHeight="false" outlineLevel="0" collapsed="false">
      <c r="A4" s="18" t="s">
        <v>2049</v>
      </c>
      <c r="B4" s="12" t="s">
        <v>2050</v>
      </c>
    </row>
    <row r="5" customFormat="false" ht="23.85" hidden="false" customHeight="false" outlineLevel="0" collapsed="false">
      <c r="A5" s="18" t="s">
        <v>2051</v>
      </c>
      <c r="B5" s="12" t="s">
        <v>2052</v>
      </c>
    </row>
    <row r="6" customFormat="false" ht="23.85" hidden="false" customHeight="false" outlineLevel="0" collapsed="false">
      <c r="A6" s="18" t="s">
        <v>2053</v>
      </c>
      <c r="B6" s="12" t="s">
        <v>2054</v>
      </c>
    </row>
    <row r="7" customFormat="false" ht="23.85" hidden="false" customHeight="false" outlineLevel="0" collapsed="false">
      <c r="A7" s="18" t="s">
        <v>2055</v>
      </c>
      <c r="B7" s="12" t="s">
        <v>2056</v>
      </c>
    </row>
    <row r="8" customFormat="false" ht="15" hidden="false" customHeight="false" outlineLevel="0" collapsed="false">
      <c r="A8" s="18" t="s">
        <v>2057</v>
      </c>
      <c r="B8" s="12" t="s">
        <v>2058</v>
      </c>
    </row>
    <row r="9" customFormat="false" ht="23.85" hidden="false" customHeight="false" outlineLevel="0" collapsed="false">
      <c r="A9" s="18" t="s">
        <v>2059</v>
      </c>
      <c r="B9" s="12" t="s">
        <v>2060</v>
      </c>
    </row>
    <row r="10" customFormat="false" ht="23.85" hidden="false" customHeight="false" outlineLevel="0" collapsed="false">
      <c r="A10" s="18" t="s">
        <v>2061</v>
      </c>
      <c r="B10" s="12" t="s">
        <v>2062</v>
      </c>
    </row>
    <row r="11" customFormat="false" ht="23.85" hidden="false" customHeight="false" outlineLevel="0" collapsed="false">
      <c r="A11" s="18" t="s">
        <v>2063</v>
      </c>
      <c r="B11" s="12" t="s">
        <v>2064</v>
      </c>
    </row>
    <row r="12" customFormat="false" ht="15" hidden="false" customHeight="false" outlineLevel="0" collapsed="false">
      <c r="A12" s="18" t="s">
        <v>2065</v>
      </c>
      <c r="B12" s="12" t="s">
        <v>2066</v>
      </c>
    </row>
    <row r="13" customFormat="false" ht="15" hidden="false" customHeight="false" outlineLevel="0" collapsed="false">
      <c r="A13" s="18" t="s">
        <v>2067</v>
      </c>
      <c r="B13" s="12" t="s">
        <v>2068</v>
      </c>
    </row>
    <row r="14" customFormat="false" ht="15" hidden="false" customHeight="false" outlineLevel="0" collapsed="false">
      <c r="A14" s="18" t="s">
        <v>1092</v>
      </c>
      <c r="B14" s="12" t="s">
        <v>2069</v>
      </c>
    </row>
    <row r="15" customFormat="false" ht="15" hidden="false" customHeight="false" outlineLevel="0" collapsed="false">
      <c r="A15" s="18" t="s">
        <v>2070</v>
      </c>
      <c r="B15" s="12" t="s">
        <v>2071</v>
      </c>
    </row>
    <row r="16" customFormat="false" ht="35.05" hidden="false" customHeight="false" outlineLevel="0" collapsed="false">
      <c r="A16" s="18" t="s">
        <v>2072</v>
      </c>
      <c r="B16" s="12" t="s">
        <v>2073</v>
      </c>
    </row>
    <row r="17" customFormat="false" ht="23.85" hidden="false" customHeight="false" outlineLevel="0" collapsed="false">
      <c r="A17" s="18" t="s">
        <v>2074</v>
      </c>
      <c r="B17" s="12" t="s">
        <v>2075</v>
      </c>
    </row>
    <row r="18" customFormat="false" ht="15" hidden="false" customHeight="false" outlineLevel="0" collapsed="false">
      <c r="A18" s="18" t="s">
        <v>2076</v>
      </c>
      <c r="B18" s="12" t="s">
        <v>2077</v>
      </c>
    </row>
    <row r="19" customFormat="false" ht="15" hidden="false" customHeight="false" outlineLevel="0" collapsed="false">
      <c r="A19" s="18" t="s">
        <v>2078</v>
      </c>
      <c r="B19" s="12" t="s">
        <v>2079</v>
      </c>
    </row>
    <row r="20" customFormat="false" ht="23.85" hidden="false" customHeight="false" outlineLevel="0" collapsed="false">
      <c r="A20" s="18" t="s">
        <v>2080</v>
      </c>
      <c r="B20" s="12" t="s">
        <v>2081</v>
      </c>
    </row>
    <row r="21" customFormat="false" ht="23.85" hidden="false" customHeight="false" outlineLevel="0" collapsed="false">
      <c r="A21" s="18" t="s">
        <v>2082</v>
      </c>
      <c r="B21" s="12" t="s">
        <v>2083</v>
      </c>
    </row>
    <row r="22" customFormat="false" ht="23.85" hidden="false" customHeight="false" outlineLevel="0" collapsed="false">
      <c r="A22" s="18" t="s">
        <v>2084</v>
      </c>
      <c r="B22" s="12" t="s">
        <v>2085</v>
      </c>
    </row>
    <row r="23" customFormat="false" ht="15" hidden="false" customHeight="false" outlineLevel="0" collapsed="false">
      <c r="A23" s="18" t="s">
        <v>2086</v>
      </c>
      <c r="B23" s="12" t="s">
        <v>2087</v>
      </c>
    </row>
    <row r="24" customFormat="false" ht="15" hidden="false" customHeight="false" outlineLevel="0" collapsed="false">
      <c r="A24" s="18" t="s">
        <v>2088</v>
      </c>
      <c r="B24" s="12" t="s">
        <v>2089</v>
      </c>
    </row>
    <row r="25" customFormat="false" ht="15" hidden="false" customHeight="false" outlineLevel="0" collapsed="false">
      <c r="A25" s="18" t="s">
        <v>2090</v>
      </c>
      <c r="B25" s="12" t="s">
        <v>2091</v>
      </c>
    </row>
    <row r="26" customFormat="false" ht="15" hidden="false" customHeight="false" outlineLevel="0" collapsed="false">
      <c r="A26" s="18" t="s">
        <v>1579</v>
      </c>
      <c r="B26" s="12" t="s">
        <v>2092</v>
      </c>
    </row>
    <row r="27" customFormat="false" ht="23.85" hidden="false" customHeight="false" outlineLevel="0" collapsed="false">
      <c r="A27" s="18" t="s">
        <v>2093</v>
      </c>
      <c r="B27" s="12" t="s">
        <v>2094</v>
      </c>
    </row>
    <row r="28" customFormat="false" ht="15" hidden="false" customHeight="false" outlineLevel="0" collapsed="false">
      <c r="A28" s="18" t="s">
        <v>2095</v>
      </c>
      <c r="B28" s="12" t="s">
        <v>2096</v>
      </c>
    </row>
    <row r="29" customFormat="false" ht="23.85" hidden="false" customHeight="false" outlineLevel="0" collapsed="false">
      <c r="A29" s="18" t="s">
        <v>2097</v>
      </c>
      <c r="B29" s="12" t="s">
        <v>2098</v>
      </c>
    </row>
    <row r="30" customFormat="false" ht="35.05" hidden="false" customHeight="false" outlineLevel="0" collapsed="false">
      <c r="A30" s="18" t="s">
        <v>1569</v>
      </c>
      <c r="B30" s="12" t="s">
        <v>2099</v>
      </c>
    </row>
    <row r="31" customFormat="false" ht="15" hidden="false" customHeight="false" outlineLevel="0" collapsed="false">
      <c r="A31" s="18" t="s">
        <v>1573</v>
      </c>
      <c r="B31" s="12" t="s">
        <v>2100</v>
      </c>
    </row>
    <row r="32" customFormat="false" ht="35.05" hidden="false" customHeight="false" outlineLevel="0" collapsed="false">
      <c r="A32" s="18" t="s">
        <v>1571</v>
      </c>
      <c r="B32" s="12" t="s">
        <v>2101</v>
      </c>
    </row>
    <row r="33" customFormat="false" ht="15" hidden="false" customHeight="false" outlineLevel="0" collapsed="false">
      <c r="A33" s="18" t="s">
        <v>2102</v>
      </c>
      <c r="B33" s="12" t="s">
        <v>2103</v>
      </c>
    </row>
    <row r="34" customFormat="false" ht="35.05" hidden="false" customHeight="false" outlineLevel="0" collapsed="false">
      <c r="A34" s="18" t="s">
        <v>2104</v>
      </c>
      <c r="B34" s="12" t="s">
        <v>2105</v>
      </c>
    </row>
    <row r="35" customFormat="false" ht="15" hidden="false" customHeight="false" outlineLevel="0" collapsed="false">
      <c r="A35" s="18" t="s">
        <v>1786</v>
      </c>
      <c r="B35" s="12" t="s">
        <v>2106</v>
      </c>
    </row>
    <row r="36" customFormat="false" ht="15" hidden="false" customHeight="false" outlineLevel="0" collapsed="false">
      <c r="A36" s="18" t="s">
        <v>2107</v>
      </c>
      <c r="B36" s="12" t="s">
        <v>2108</v>
      </c>
    </row>
    <row r="37" customFormat="false" ht="23.85" hidden="false" customHeight="false" outlineLevel="0" collapsed="false">
      <c r="A37" s="18" t="s">
        <v>2109</v>
      </c>
      <c r="B37" s="12" t="s">
        <v>2110</v>
      </c>
    </row>
    <row r="38" customFormat="false" ht="23.85" hidden="false" customHeight="false" outlineLevel="0" collapsed="false">
      <c r="A38" s="18" t="s">
        <v>2111</v>
      </c>
      <c r="B38" s="12" t="s">
        <v>2112</v>
      </c>
    </row>
    <row r="39" customFormat="false" ht="15" hidden="false" customHeight="false" outlineLevel="0" collapsed="false">
      <c r="A39" s="18" t="s">
        <v>2113</v>
      </c>
      <c r="B39" s="12" t="s">
        <v>2114</v>
      </c>
    </row>
    <row r="40" customFormat="false" ht="15" hidden="false" customHeight="false" outlineLevel="0" collapsed="false">
      <c r="A40" s="18" t="s">
        <v>2115</v>
      </c>
      <c r="B40" s="12" t="s">
        <v>2116</v>
      </c>
    </row>
    <row r="41" customFormat="false" ht="15" hidden="false" customHeight="false" outlineLevel="0" collapsed="false">
      <c r="A41" s="18" t="s">
        <v>2117</v>
      </c>
      <c r="B41" s="12" t="s">
        <v>2118</v>
      </c>
    </row>
    <row r="42" customFormat="false" ht="15" hidden="false" customHeight="false" outlineLevel="0" collapsed="false">
      <c r="A42" s="18" t="s">
        <v>2119</v>
      </c>
      <c r="B42" s="12" t="s">
        <v>2120</v>
      </c>
    </row>
    <row r="43" customFormat="false" ht="15" hidden="false" customHeight="false" outlineLevel="0" collapsed="false">
      <c r="A43" s="18" t="s">
        <v>2121</v>
      </c>
      <c r="B43" s="12" t="s">
        <v>2122</v>
      </c>
    </row>
    <row r="44" customFormat="false" ht="15" hidden="false" customHeight="false" outlineLevel="0" collapsed="false">
      <c r="A44" s="18" t="s">
        <v>2123</v>
      </c>
      <c r="B44" s="12" t="s">
        <v>2124</v>
      </c>
    </row>
    <row r="45" customFormat="false" ht="15" hidden="false" customHeight="false" outlineLevel="0" collapsed="false">
      <c r="A45" s="18" t="s">
        <v>2125</v>
      </c>
      <c r="B45" s="12" t="s">
        <v>2126</v>
      </c>
    </row>
    <row r="46" customFormat="false" ht="23.85" hidden="false" customHeight="false" outlineLevel="0" collapsed="false">
      <c r="A46" s="18" t="s">
        <v>2127</v>
      </c>
      <c r="B46" s="12" t="s">
        <v>2128</v>
      </c>
    </row>
    <row r="47" customFormat="false" ht="23.85" hidden="false" customHeight="false" outlineLevel="0" collapsed="false">
      <c r="A47" s="18" t="s">
        <v>2129</v>
      </c>
      <c r="B47" s="12" t="s">
        <v>2130</v>
      </c>
    </row>
    <row r="48" customFormat="false" ht="23.85" hidden="false" customHeight="false" outlineLevel="0" collapsed="false">
      <c r="A48" s="18" t="s">
        <v>2131</v>
      </c>
      <c r="B48" s="12" t="s">
        <v>2132</v>
      </c>
    </row>
    <row r="49" customFormat="false" ht="35.05" hidden="false" customHeight="false" outlineLevel="0" collapsed="false">
      <c r="A49" s="18" t="s">
        <v>2133</v>
      </c>
      <c r="B49" s="12" t="s">
        <v>2134</v>
      </c>
    </row>
    <row r="50" customFormat="false" ht="15" hidden="false" customHeight="false" outlineLevel="0" collapsed="false">
      <c r="A50" s="18" t="s">
        <v>2135</v>
      </c>
      <c r="B50" s="12" t="s">
        <v>2136</v>
      </c>
    </row>
    <row r="51" customFormat="false" ht="15" hidden="false" customHeight="false" outlineLevel="0" collapsed="false">
      <c r="A51" s="18" t="s">
        <v>2137</v>
      </c>
      <c r="B51" s="12" t="s">
        <v>2138</v>
      </c>
    </row>
    <row r="52" customFormat="false" ht="15" hidden="false" customHeight="false" outlineLevel="0" collapsed="false">
      <c r="A52" s="18" t="s">
        <v>2139</v>
      </c>
      <c r="B52" s="12" t="s">
        <v>2140</v>
      </c>
    </row>
    <row r="53" customFormat="false" ht="15" hidden="false" customHeight="false" outlineLevel="0" collapsed="false">
      <c r="A53" s="18" t="s">
        <v>2141</v>
      </c>
      <c r="B53" s="12" t="s">
        <v>2142</v>
      </c>
    </row>
    <row r="54" customFormat="false" ht="15" hidden="false" customHeight="false" outlineLevel="0" collapsed="false">
      <c r="A54" s="18" t="s">
        <v>2143</v>
      </c>
      <c r="B54" s="12" t="s">
        <v>2144</v>
      </c>
    </row>
    <row r="55" customFormat="false" ht="15" hidden="false" customHeight="false" outlineLevel="0" collapsed="false">
      <c r="A55" s="18" t="s">
        <v>2145</v>
      </c>
      <c r="B55" s="12" t="s">
        <v>2146</v>
      </c>
    </row>
    <row r="56" customFormat="false" ht="23.85" hidden="false" customHeight="false" outlineLevel="0" collapsed="false">
      <c r="A56" s="18" t="s">
        <v>2147</v>
      </c>
      <c r="B56" s="12" t="s">
        <v>2148</v>
      </c>
    </row>
    <row r="57" customFormat="false" ht="23.85" hidden="false" customHeight="false" outlineLevel="0" collapsed="false">
      <c r="A57" s="18" t="s">
        <v>2149</v>
      </c>
      <c r="B57" s="12" t="s">
        <v>2150</v>
      </c>
    </row>
  </sheetData>
  <printOptions headings="false" gridLines="false" gridLinesSet="true" horizontalCentered="fals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&amp;LEvidence&amp;R&amp;P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2026-09-19T04:05:00Z</dcterms:created>
  <dc:creator>openpyxl</dc:creator>
  <dc:description/>
  <dc:language>en-US</dc:language>
  <cp:lastModifiedBy/>
  <dcterms:modified xsi:type="dcterms:W3CDTF">2026-09-19T04:05:00Z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